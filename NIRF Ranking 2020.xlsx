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HomePC\Downloads\"/>
    </mc:Choice>
  </mc:AlternateContent>
  <xr:revisionPtr revIDLastSave="0" documentId="8_{396F1660-3885-4BF1-BB9E-5BCBDF398E01}" xr6:coauthVersionLast="47" xr6:coauthVersionMax="47" xr10:uidLastSave="{00000000-0000-0000-0000-000000000000}"/>
  <bookViews>
    <workbookView xWindow="-110" yWindow="-110" windowWidth="25820" windowHeight="13900" firstSheet="5" activeTab="5" xr2:uid="{590EF5C9-8D99-4D53-BB47-C03A7E0C1972}"/>
  </bookViews>
  <sheets>
    <sheet name="Sheet1" sheetId="2" state="hidden" r:id="rId1"/>
    <sheet name="Sheet3" sheetId="8" state="hidden" r:id="rId2"/>
    <sheet name="Sheet2" sheetId="3" state="hidden" r:id="rId3"/>
    <sheet name="Sheet4" sheetId="5" state="hidden" r:id="rId4"/>
    <sheet name="Sheet5" sheetId="6" state="hidden" r:id="rId5"/>
    <sheet name="DASHBOARD" sheetId="7" r:id="rId6"/>
    <sheet name="NIRF Ranking 2020" sheetId="1" state="hidden" r:id="rId7"/>
  </sheets>
  <definedNames>
    <definedName name="Slicer_Institute_Name">#N/A</definedName>
    <definedName name="Slicer_State">#N/A</definedName>
  </definedNames>
  <calcPr calcId="191029"/>
  <pivotCaches>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<sst xmlns="http://schemas.openxmlformats.org/spreadsheetml/2006/main" count="478" uniqueCount="307">
  <si>
    <t>Institute ID</t>
  </si>
  <si>
    <t>Institute Name</t>
  </si>
  <si>
    <t>TLR</t>
  </si>
  <si>
    <t>RPC</t>
  </si>
  <si>
    <t>GO</t>
  </si>
  <si>
    <t>OI</t>
  </si>
  <si>
    <t>PERCEPTION</t>
  </si>
  <si>
    <t>City</t>
  </si>
  <si>
    <t>State</t>
  </si>
  <si>
    <t>Score</t>
  </si>
  <si>
    <t>Rank</t>
  </si>
  <si>
    <t>IR-O-U-0456</t>
  </si>
  <si>
    <t>Indian Institute of Technology Madras</t>
  </si>
  <si>
    <t>Chennai</t>
  </si>
  <si>
    <t>Tamil Nadu</t>
  </si>
  <si>
    <t>IR-O-U-0220</t>
  </si>
  <si>
    <t>Indian Institute of Science</t>
  </si>
  <si>
    <t>Bengaluru</t>
  </si>
  <si>
    <t>Karnataka</t>
  </si>
  <si>
    <t>IR-O-U-0306</t>
  </si>
  <si>
    <t>Indian Institute of Technology Bombay</t>
  </si>
  <si>
    <t>Mumbai</t>
  </si>
  <si>
    <t>Maharashtra</t>
  </si>
  <si>
    <t>IR-O-I-1074</t>
  </si>
  <si>
    <t>Indian Institute of Technology Delhi</t>
  </si>
  <si>
    <t>New Delhi</t>
  </si>
  <si>
    <t>Delhi</t>
  </si>
  <si>
    <t>IR-O-I-1075</t>
  </si>
  <si>
    <t>Indian Institute of Technology Kanpur</t>
  </si>
  <si>
    <t>Kanpur</t>
  </si>
  <si>
    <t>Uttar Pradesh</t>
  </si>
  <si>
    <t>IR-O-U-0573</t>
  </si>
  <si>
    <t>Indian Institute of Technology Kharagpur</t>
  </si>
  <si>
    <t>Kharagpur</t>
  </si>
  <si>
    <t>West Bengal</t>
  </si>
  <si>
    <t>IR-O-U-0560</t>
  </si>
  <si>
    <t>Indian Institute of Technology Roorkee</t>
  </si>
  <si>
    <t>Roorkee</t>
  </si>
  <si>
    <t>Uttarakhand</t>
  </si>
  <si>
    <t>IR-O-U-0053</t>
  </si>
  <si>
    <t>Indian Institute of Technology Guwahati</t>
  </si>
  <si>
    <t>Guwahati</t>
  </si>
  <si>
    <t>Assam</t>
  </si>
  <si>
    <t>IR-O-U-0109</t>
  </si>
  <si>
    <t>Jawaharlal Nehru University</t>
  </si>
  <si>
    <t>IR-O-U-0500</t>
  </si>
  <si>
    <t>Banaras Hindu University</t>
  </si>
  <si>
    <t>Varanasi</t>
  </si>
  <si>
    <t>IR-O-U-0570</t>
  </si>
  <si>
    <t>Calcutta University</t>
  </si>
  <si>
    <t>Kolkata</t>
  </si>
  <si>
    <t>IR-O-U-0436</t>
  </si>
  <si>
    <t>Amrita Vishwa Vidyapeetham</t>
  </si>
  <si>
    <t>Coimbatore</t>
  </si>
  <si>
    <t>IR-O-U-0108</t>
  </si>
  <si>
    <t>Jamia Millia Islamia</t>
  </si>
  <si>
    <t>IR-O-U-0575</t>
  </si>
  <si>
    <t>Jadavpur University</t>
  </si>
  <si>
    <t>IR-O-U-0234</t>
  </si>
  <si>
    <t>Manipal Academy of Higher Education</t>
  </si>
  <si>
    <t>Manipal</t>
  </si>
  <si>
    <t>IR-O-U-0013</t>
  </si>
  <si>
    <t>Indian Institute of Technology Hyderabad</t>
  </si>
  <si>
    <t>Hyderabad</t>
  </si>
  <si>
    <t>Telangana</t>
  </si>
  <si>
    <t>IR-O-U-0042</t>
  </si>
  <si>
    <t>University of Hyderabad</t>
  </si>
  <si>
    <t>IR-O-U-0496</t>
  </si>
  <si>
    <t>Aligarh Muslim University</t>
  </si>
  <si>
    <t>Aligarh</t>
  </si>
  <si>
    <t>IR-O-U-0120</t>
  </si>
  <si>
    <t>University of Delhi</t>
  </si>
  <si>
    <t>IR-O-U-0323</t>
  </si>
  <si>
    <t>Savitribai Phule Pune University</t>
  </si>
  <si>
    <t>Pune</t>
  </si>
  <si>
    <t>IR-O-U-0490</t>
  </si>
  <si>
    <t>Vellore Institute of Technology</t>
  </si>
  <si>
    <t>Vellore</t>
  </si>
  <si>
    <t>IR-O-U-0447</t>
  </si>
  <si>
    <t>Bharathiar University</t>
  </si>
  <si>
    <t>IR-O-U-0467</t>
  </si>
  <si>
    <t>National Institute of Technology Tiruchirappalli</t>
  </si>
  <si>
    <t>Tiruchirappalli</t>
  </si>
  <si>
    <t>IR-O-U-0305</t>
  </si>
  <si>
    <t>Indian Institute of Science Education &amp; Research Pune</t>
  </si>
  <si>
    <t>IR-O-U-0439</t>
  </si>
  <si>
    <t>Anna University</t>
  </si>
  <si>
    <t>IR-O-U-0205</t>
  </si>
  <si>
    <t>Indian Institute of Technology (Indian School of Mines)</t>
  </si>
  <si>
    <t>Dhanbad</t>
  </si>
  <si>
    <t>Jharkhand</t>
  </si>
  <si>
    <t>IR-O-U-0308</t>
  </si>
  <si>
    <t>Institute of Chemical Technology</t>
  </si>
  <si>
    <t>IR-O-U-0701</t>
  </si>
  <si>
    <t>Indian Institute of Technology (Banaras Hindu University) Varanasi</t>
  </si>
  <si>
    <t>IR-O-U-0391</t>
  </si>
  <si>
    <t>Birla Institute of Technology &amp; Science -Pilani</t>
  </si>
  <si>
    <t>Pilani</t>
  </si>
  <si>
    <t>Rajasthan</t>
  </si>
  <si>
    <t>IR-O-U-0273</t>
  </si>
  <si>
    <t>Indian Institute of Technology Indore</t>
  </si>
  <si>
    <t>Indore</t>
  </si>
  <si>
    <t>Madhya Pradesh</t>
  </si>
  <si>
    <t>IR-O-U-0378</t>
  </si>
  <si>
    <t>Indian Institute of Technology Ropar</t>
  </si>
  <si>
    <t>Rupnagar</t>
  </si>
  <si>
    <t>Punjab</t>
  </si>
  <si>
    <t>IR-O-U-0237</t>
  </si>
  <si>
    <t>National Institute of Technology Karnataka</t>
  </si>
  <si>
    <t>Surathkal</t>
  </si>
  <si>
    <t>IR-O-U-0139</t>
  </si>
  <si>
    <t>Indian Institute of Technology Gandhinagar</t>
  </si>
  <si>
    <t>Gandhinagar</t>
  </si>
  <si>
    <t>Gujarat</t>
  </si>
  <si>
    <t>IR-O-U-0235</t>
  </si>
  <si>
    <t>Mysore University</t>
  </si>
  <si>
    <t>Mysuru</t>
  </si>
  <si>
    <t>IR-O-U-0572</t>
  </si>
  <si>
    <t>Indian Institute of Science Education &amp; Research Kolkata</t>
  </si>
  <si>
    <t>Mohanpur</t>
  </si>
  <si>
    <t>IR-O-U-0304</t>
  </si>
  <si>
    <t>Homi Bhabha National Institute</t>
  </si>
  <si>
    <t>IR-O-U-0363</t>
  </si>
  <si>
    <t>Siksha `O` Anusandhan</t>
  </si>
  <si>
    <t>Bhubaneswar</t>
  </si>
  <si>
    <t>Odisha</t>
  </si>
  <si>
    <t>IR-O-U-0078</t>
  </si>
  <si>
    <t>Panjab University</t>
  </si>
  <si>
    <t>Chandigarh</t>
  </si>
  <si>
    <t>IR-O-U-0356</t>
  </si>
  <si>
    <t>Kalinga Institute of Industrial Technology</t>
  </si>
  <si>
    <t>IR-O-U-0377</t>
  </si>
  <si>
    <t>Indian Institute of Science Education &amp; Research, Mohali</t>
  </si>
  <si>
    <t>Mohali</t>
  </si>
  <si>
    <t>IR-O-U-0357</t>
  </si>
  <si>
    <t>National Institute of Technology Rourkela</t>
  </si>
  <si>
    <t>Rourkela</t>
  </si>
  <si>
    <t>IR-O-U-0476</t>
  </si>
  <si>
    <t>Shanmugha Arts Science Technology &amp; Research Academy</t>
  </si>
  <si>
    <t>Thanjavur</t>
  </si>
  <si>
    <t>IR-O-U-0260</t>
  </si>
  <si>
    <t>Kerala University</t>
  </si>
  <si>
    <t>Thiruvananthapuram</t>
  </si>
  <si>
    <t>Kerala</t>
  </si>
  <si>
    <t>IR-O-U-0497</t>
  </si>
  <si>
    <t>Amity University</t>
  </si>
  <si>
    <t>Gautam Budh Nagar</t>
  </si>
  <si>
    <t>IR-O-I-1480</t>
  </si>
  <si>
    <t>Thapar Institute of Engineering and Technology</t>
  </si>
  <si>
    <t>Patiala</t>
  </si>
  <si>
    <t>IR-O-U-0584</t>
  </si>
  <si>
    <t>Indian Institute of Engineering Science and Technology</t>
  </si>
  <si>
    <t>Shibpur</t>
  </si>
  <si>
    <t>IR-O-I-1357</t>
  </si>
  <si>
    <t>University of Madras</t>
  </si>
  <si>
    <t>IR-O-U-0006</t>
  </si>
  <si>
    <t>Andhra University, Visakhapatnam</t>
  </si>
  <si>
    <t>Visakhapatnam</t>
  </si>
  <si>
    <t>Andhra Pradesh</t>
  </si>
  <si>
    <t>IR-O-I-1441</t>
  </si>
  <si>
    <t>Saveetha Institute of Medical and Technical Sciences</t>
  </si>
  <si>
    <t>IR-O-U-0272</t>
  </si>
  <si>
    <t>Indian Institute of Science Education &amp; Research Bhopal</t>
  </si>
  <si>
    <t>Bhopal</t>
  </si>
  <si>
    <t>IR-O-U-0064</t>
  </si>
  <si>
    <t>Indian Institute of Technology Patna</t>
  </si>
  <si>
    <t>Patna</t>
  </si>
  <si>
    <t>Bihar</t>
  </si>
  <si>
    <t>IR-O-U-0262</t>
  </si>
  <si>
    <t>Mahatma Gandhi University</t>
  </si>
  <si>
    <t>Kottayam</t>
  </si>
  <si>
    <t>IR-O-U-0473</t>
  </si>
  <si>
    <t>S.R.M. Institute of Science and Technology</t>
  </si>
  <si>
    <t>IR-O-U-0098</t>
  </si>
  <si>
    <t>Delhi Technological University</t>
  </si>
  <si>
    <t>IR-O-U-0334</t>
  </si>
  <si>
    <t>Visvesvaraya National Institute of Technology</t>
  </si>
  <si>
    <t>Nagpur</t>
  </si>
  <si>
    <t>IR-O-U-0222</t>
  </si>
  <si>
    <t>JSS Academy of Higher Education and Research</t>
  </si>
  <si>
    <t>IR-O-U-0435</t>
  </si>
  <si>
    <t>Alagappa University</t>
  </si>
  <si>
    <t>Karaikudi</t>
  </si>
  <si>
    <t>IR-O-U-0355</t>
  </si>
  <si>
    <t>Indian Institute of Technology Bhubaneswar</t>
  </si>
  <si>
    <t>IR-O-U-0025</t>
  </si>
  <si>
    <t>National Institute of Technology Warangal</t>
  </si>
  <si>
    <t>Warangal</t>
  </si>
  <si>
    <t>IR-O-U-0523</t>
  </si>
  <si>
    <t>King George`s Medical University</t>
  </si>
  <si>
    <t>Lucknow</t>
  </si>
  <si>
    <t>IR-O-U-0474</t>
  </si>
  <si>
    <t>Sathyabama Institute of Science and Technology</t>
  </si>
  <si>
    <t>IR-O-U-0136</t>
  </si>
  <si>
    <t>Gujarat University</t>
  </si>
  <si>
    <t>Ahmedabad</t>
  </si>
  <si>
    <t>IR-O-U-0027</t>
  </si>
  <si>
    <t>Osmania University</t>
  </si>
  <si>
    <t>IR-O-U-0107</t>
  </si>
  <si>
    <t>Jamia Hamdard</t>
  </si>
  <si>
    <t>IR-O-U-0253</t>
  </si>
  <si>
    <t>Cochin University of Science and Technology</t>
  </si>
  <si>
    <t>Cochin</t>
  </si>
  <si>
    <t>IR-O-U-0389</t>
  </si>
  <si>
    <t>Banasthali Vidyapith</t>
  </si>
  <si>
    <t>Banasthali</t>
  </si>
  <si>
    <t>IR-O-U-0052</t>
  </si>
  <si>
    <t>Gauhati University</t>
  </si>
  <si>
    <t>IR-O-U-0329</t>
  </si>
  <si>
    <t>Symbiosis International</t>
  </si>
  <si>
    <t>IR-O-U-0020</t>
  </si>
  <si>
    <t>Koneru Lakshmaiah Education Foundation University (K L College of Engineering)</t>
  </si>
  <si>
    <t>Vaddeswaram</t>
  </si>
  <si>
    <t>IR-O-U-0331</t>
  </si>
  <si>
    <t>Tata Institute of Social Sciences</t>
  </si>
  <si>
    <t>IR-O-U-0577</t>
  </si>
  <si>
    <t>National Institute of Technology Durgapur</t>
  </si>
  <si>
    <t>Durgapur</t>
  </si>
  <si>
    <t>IR-O-U-0410</t>
  </si>
  <si>
    <t>Malaviya National Institute of Technology</t>
  </si>
  <si>
    <t>Jaipur</t>
  </si>
  <si>
    <t>IR-O-U-0056</t>
  </si>
  <si>
    <t>Tezpur University</t>
  </si>
  <si>
    <t>Tezpur</t>
  </si>
  <si>
    <t>IR-O-U-0458</t>
  </si>
  <si>
    <t>Kalasalingam Academy of Research and Education</t>
  </si>
  <si>
    <t>Srivilliputtur</t>
  </si>
  <si>
    <t>IR-O-U-0446</t>
  </si>
  <si>
    <t>Bharath Institute of Higher Education &amp; Research</t>
  </si>
  <si>
    <t>IR-O-U-0196</t>
  </si>
  <si>
    <t>University of Kashmir</t>
  </si>
  <si>
    <t>Srinagar</t>
  </si>
  <si>
    <t>Jammu and Kashmir</t>
  </si>
  <si>
    <t>IR-O-U-0747</t>
  </si>
  <si>
    <t>Chandigarh University</t>
  </si>
  <si>
    <t>IR-O-U-0374</t>
  </si>
  <si>
    <t>Dr. B. R. Ambedkar National Institute of Technology</t>
  </si>
  <si>
    <t>Jalandhar</t>
  </si>
  <si>
    <t>IR-O-I-1486</t>
  </si>
  <si>
    <t>Sri Ramachandra Institute of Higher Education and Research</t>
  </si>
  <si>
    <t>IR-O-I-1110</t>
  </si>
  <si>
    <t>Dr. D. Y. Patil Vidyapeeth</t>
  </si>
  <si>
    <t>IR-O-U-0379</t>
  </si>
  <si>
    <t>Lovely Professional University</t>
  </si>
  <si>
    <t>Phagwara</t>
  </si>
  <si>
    <t>IR-O-U-0184</t>
  </si>
  <si>
    <t>Indian Institute of Technology Mandi</t>
  </si>
  <si>
    <t>Mandi</t>
  </si>
  <si>
    <t>Himachal Pradesh</t>
  </si>
  <si>
    <t>IR-O-U-0463</t>
  </si>
  <si>
    <t>Madurai Kamaraj University</t>
  </si>
  <si>
    <t>Madurai</t>
  </si>
  <si>
    <t>IR-O-U-0642</t>
  </si>
  <si>
    <t>Shiv Nadar University</t>
  </si>
  <si>
    <t>Dadri</t>
  </si>
  <si>
    <t>IR-O-U-0376</t>
  </si>
  <si>
    <t>Guru Nanak Dev University</t>
  </si>
  <si>
    <t>Amritsar</t>
  </si>
  <si>
    <t>IR-O-C-37013</t>
  </si>
  <si>
    <t>PSG College of Technology</t>
  </si>
  <si>
    <t>IR-O-U-0369</t>
  </si>
  <si>
    <t>Pondicherry University</t>
  </si>
  <si>
    <t>Puducherry</t>
  </si>
  <si>
    <t>Pondicherry</t>
  </si>
  <si>
    <t>IR-O-U-0530</t>
  </si>
  <si>
    <t>Motilal Nehru National Institute of Technology</t>
  </si>
  <si>
    <t>Prayagraj</t>
  </si>
  <si>
    <t>IR-O-C-16604</t>
  </si>
  <si>
    <t>Sri Sivasubramaniya Nadar College of Engineering</t>
  </si>
  <si>
    <t>Kancheepuram</t>
  </si>
  <si>
    <t>IR-O-U-0448</t>
  </si>
  <si>
    <t>Bharathidasan University</t>
  </si>
  <si>
    <t>IR-O-U-0341</t>
  </si>
  <si>
    <t>North Eastern Hill University</t>
  </si>
  <si>
    <t>Shillong</t>
  </si>
  <si>
    <t>Meghalaya</t>
  </si>
  <si>
    <t>IR-O-U-0037</t>
  </si>
  <si>
    <t>Sri Venkateswara University</t>
  </si>
  <si>
    <t>Tirupati</t>
  </si>
  <si>
    <t>IR-O-U-0055</t>
  </si>
  <si>
    <t>National Institute of Technology Silchar</t>
  </si>
  <si>
    <t>Silchar</t>
  </si>
  <si>
    <t>IR-O-N-10</t>
  </si>
  <si>
    <t>SVKM`s Narsee Monjee Institute of Management Studies</t>
  </si>
  <si>
    <t>IR-O-U-0251</t>
  </si>
  <si>
    <t>Calicut University</t>
  </si>
  <si>
    <t>Malappuram</t>
  </si>
  <si>
    <t>IR-O-U-0318</t>
  </si>
  <si>
    <t>Mumbai University</t>
  </si>
  <si>
    <t>IR-O-U-0589</t>
  </si>
  <si>
    <t>Visva Bharati</t>
  </si>
  <si>
    <t>Santiniketan</t>
  </si>
  <si>
    <t>IR-O-U-0149</t>
  </si>
  <si>
    <t>Sardar Vallabhbhai National Institute of Technology</t>
  </si>
  <si>
    <t>Surat</t>
  </si>
  <si>
    <t>IR-O-U-0099</t>
  </si>
  <si>
    <t>Guru Gobind Singh Indraprastha University</t>
  </si>
  <si>
    <t>IR-O-U-0295</t>
  </si>
  <si>
    <t>Datta Meghe Institute of Medical Sciences</t>
  </si>
  <si>
    <t>Wardha</t>
  </si>
  <si>
    <t>Row Labels</t>
  </si>
  <si>
    <t>Grand Total</t>
  </si>
  <si>
    <t>Sum of Rank</t>
  </si>
  <si>
    <t>Sum of TLR</t>
  </si>
  <si>
    <t>Sum of GO</t>
  </si>
  <si>
    <t>Sum of PERCEPTION</t>
  </si>
  <si>
    <t>Sum of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</si>
</sst>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10"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university by ranking</a:t>
            </a:r>
            <a:endParaRPr lang="en-US"/>
          </a:p>
        </c:rich>
      </c:tx>
      <c:layout>
        <c:manualLayout>
          <c:xMode val="edge"/>
          <c:yMode val="edge"/>
          <c:x val="0.51370144356955383"/>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Sheet1!$A$4:$A$19</c:f>
              <c:strCache>
                <c:ptCount val="15"/>
                <c:pt idx="0">
                  <c:v>Indian Institute of Technology Madras</c:v>
                </c:pt>
                <c:pt idx="1">
                  <c:v>Indian Institute of Science</c:v>
                </c:pt>
                <c:pt idx="2">
                  <c:v>Indian Institute of Technology Bombay</c:v>
                </c:pt>
                <c:pt idx="3">
                  <c:v>Indian Institute of Technology Delhi</c:v>
                </c:pt>
                <c:pt idx="4">
                  <c:v>Indian Institute of Technology Kanpur</c:v>
                </c:pt>
                <c:pt idx="5">
                  <c:v>Indian Institute of Technology Kharagpur</c:v>
                </c:pt>
                <c:pt idx="6">
                  <c:v>Indian Institute of Technology Roorkee</c:v>
                </c:pt>
                <c:pt idx="7">
                  <c:v>Indian Institute of Technology Guwahati</c:v>
                </c:pt>
                <c:pt idx="8">
                  <c:v>Jawaharlal Nehru University</c:v>
                </c:pt>
                <c:pt idx="9">
                  <c:v>Banaras Hindu University</c:v>
                </c:pt>
                <c:pt idx="10">
                  <c:v>Calcutta University</c:v>
                </c:pt>
                <c:pt idx="11">
                  <c:v>Amrita Vishwa Vidyapeetham</c:v>
                </c:pt>
                <c:pt idx="12">
                  <c:v>Jamia Millia Islamia</c:v>
                </c:pt>
                <c:pt idx="13">
                  <c:v>Jadavpur University</c:v>
                </c:pt>
                <c:pt idx="14">
                  <c:v>Manipal Academy of Higher Education</c:v>
                </c:pt>
              </c:strCache>
            </c:strRef>
          </c:cat>
          <c:val>
            <c:numRef>
              <c:f>Sheet1!$B$4:$B$19</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val>
          <c:extLst>
            <c:ext xmlns:c16="http://schemas.microsoft.com/office/drawing/2014/chart" uri="{C3380CC4-5D6E-409C-BE32-E72D297353CC}">
              <c16:uniqueId val="{00000000-3615-42AD-A6AC-2FC26E69FB37}"/>
            </c:ext>
          </c:extLst>
        </c:ser>
        <c:dLbls>
          <c:dLblPos val="outEnd"/>
          <c:showLegendKey val="0"/>
          <c:showVal val="1"/>
          <c:showCatName val="0"/>
          <c:showSerName val="0"/>
          <c:showPercent val="0"/>
          <c:showBubbleSize val="0"/>
        </c:dLbls>
        <c:gapWidth val="182"/>
        <c:axId val="773736543"/>
        <c:axId val="773733183"/>
      </c:barChart>
      <c:catAx>
        <c:axId val="773736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33183"/>
        <c:crosses val="autoZero"/>
        <c:auto val="1"/>
        <c:lblAlgn val="ctr"/>
        <c:lblOffset val="100"/>
        <c:noMultiLvlLbl val="0"/>
      </c:catAx>
      <c:valAx>
        <c:axId val="773733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3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University who score btween 70 and 100 in TLR</a:t>
            </a:r>
          </a:p>
        </c:rich>
      </c:tx>
      <c:layout>
        <c:manualLayout>
          <c:xMode val="edge"/>
          <c:yMode val="edge"/>
          <c:x val="0.19840266841644794"/>
          <c:y val="5.45348498104403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Sheet2!$A$4:$A$15</c:f>
              <c:strCache>
                <c:ptCount val="11"/>
                <c:pt idx="0">
                  <c:v>Jawaharlal Nehru University</c:v>
                </c:pt>
                <c:pt idx="1">
                  <c:v>Indian Institute of Technology Gandhinagar</c:v>
                </c:pt>
                <c:pt idx="2">
                  <c:v>Indian Institute of Technology Ropar</c:v>
                </c:pt>
                <c:pt idx="3">
                  <c:v>Indian Institute of Technology Guwahati</c:v>
                </c:pt>
                <c:pt idx="4">
                  <c:v>Indian Institute of Technology Kharagpur</c:v>
                </c:pt>
                <c:pt idx="5">
                  <c:v>Indian Institute of Technology Roorkee</c:v>
                </c:pt>
                <c:pt idx="6">
                  <c:v>Indian Institute of Science</c:v>
                </c:pt>
                <c:pt idx="7">
                  <c:v>Indian Institute of Technology Kanpur</c:v>
                </c:pt>
                <c:pt idx="8">
                  <c:v>Indian Institute of Technology Bombay</c:v>
                </c:pt>
                <c:pt idx="9">
                  <c:v>Indian Institute of Technology Delhi</c:v>
                </c:pt>
                <c:pt idx="10">
                  <c:v>Indian Institute of Technology Madras</c:v>
                </c:pt>
              </c:strCache>
            </c:strRef>
          </c:cat>
          <c:val>
            <c:numRef>
              <c:f>Sheet2!$B$4:$B$15</c:f>
              <c:numCache>
                <c:formatCode>General</c:formatCode>
                <c:ptCount val="11"/>
                <c:pt idx="0">
                  <c:v>71.19</c:v>
                </c:pt>
                <c:pt idx="1">
                  <c:v>71.260000000000005</c:v>
                </c:pt>
                <c:pt idx="2">
                  <c:v>72.760000000000005</c:v>
                </c:pt>
                <c:pt idx="3">
                  <c:v>73.75</c:v>
                </c:pt>
                <c:pt idx="4">
                  <c:v>74.25</c:v>
                </c:pt>
                <c:pt idx="5">
                  <c:v>76.680000000000007</c:v>
                </c:pt>
                <c:pt idx="6">
                  <c:v>79.13</c:v>
                </c:pt>
                <c:pt idx="7">
                  <c:v>80.5</c:v>
                </c:pt>
                <c:pt idx="8">
                  <c:v>83.52</c:v>
                </c:pt>
                <c:pt idx="9">
                  <c:v>84.02</c:v>
                </c:pt>
                <c:pt idx="10">
                  <c:v>85.61</c:v>
                </c:pt>
              </c:numCache>
            </c:numRef>
          </c:val>
          <c:extLst>
            <c:ext xmlns:c16="http://schemas.microsoft.com/office/drawing/2014/chart" uri="{C3380CC4-5D6E-409C-BE32-E72D297353CC}">
              <c16:uniqueId val="{00000000-094F-4413-B646-5A5EC830FF3E}"/>
            </c:ext>
          </c:extLst>
        </c:ser>
        <c:dLbls>
          <c:showLegendKey val="0"/>
          <c:showVal val="0"/>
          <c:showCatName val="0"/>
          <c:showSerName val="0"/>
          <c:showPercent val="0"/>
          <c:showBubbleSize val="0"/>
        </c:dLbls>
        <c:gapWidth val="219"/>
        <c:axId val="1758493520"/>
        <c:axId val="1758499280"/>
      </c:barChart>
      <c:catAx>
        <c:axId val="1758493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99280"/>
        <c:crosses val="autoZero"/>
        <c:auto val="1"/>
        <c:lblAlgn val="ctr"/>
        <c:lblOffset val="100"/>
        <c:noMultiLvlLbl val="0"/>
      </c:catAx>
      <c:valAx>
        <c:axId val="17584992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9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2020.xlsx]Sheet4!PivotTable13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total of GO and Perception by State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GO</c:v>
                </c:pt>
              </c:strCache>
            </c:strRef>
          </c:tx>
          <c:spPr>
            <a:solidFill>
              <a:schemeClr val="accent1"/>
            </a:solidFill>
            <a:ln>
              <a:noFill/>
            </a:ln>
            <a:effectLst/>
          </c:spPr>
          <c:invertIfNegative val="0"/>
          <c:cat>
            <c:strRef>
              <c:f>Sheet4!$A$4:$A$27</c:f>
              <c:strCache>
                <c:ptCount val="23"/>
                <c:pt idx="0">
                  <c:v>Andhra Pradesh</c:v>
                </c:pt>
                <c:pt idx="1">
                  <c:v>Assam</c:v>
                </c:pt>
                <c:pt idx="2">
                  <c:v>Bihar</c:v>
                </c:pt>
                <c:pt idx="3">
                  <c:v>Chandigarh</c:v>
                </c:pt>
                <c:pt idx="4">
                  <c:v>Delhi</c:v>
                </c:pt>
                <c:pt idx="5">
                  <c:v>Gujarat</c:v>
                </c:pt>
                <c:pt idx="6">
                  <c:v>Himachal Pradesh</c:v>
                </c:pt>
                <c:pt idx="7">
                  <c:v>Jammu and Kashmir</c:v>
                </c:pt>
                <c:pt idx="8">
                  <c:v>Jharkhand</c:v>
                </c:pt>
                <c:pt idx="9">
                  <c:v>Karnataka</c:v>
                </c:pt>
                <c:pt idx="10">
                  <c:v>Kerala</c:v>
                </c:pt>
                <c:pt idx="11">
                  <c:v>Madhya Pradesh</c:v>
                </c:pt>
                <c:pt idx="12">
                  <c:v>Maharashtra</c:v>
                </c:pt>
                <c:pt idx="13">
                  <c:v>Meghalaya</c:v>
                </c:pt>
                <c:pt idx="14">
                  <c:v>Odisha</c:v>
                </c:pt>
                <c:pt idx="15">
                  <c:v>Pondicherry</c:v>
                </c:pt>
                <c:pt idx="16">
                  <c:v>Punjab</c:v>
                </c:pt>
                <c:pt idx="17">
                  <c:v>Rajasthan</c:v>
                </c:pt>
                <c:pt idx="18">
                  <c:v>Tamil Nadu</c:v>
                </c:pt>
                <c:pt idx="19">
                  <c:v>Telangana</c:v>
                </c:pt>
                <c:pt idx="20">
                  <c:v>Uttar Pradesh</c:v>
                </c:pt>
                <c:pt idx="21">
                  <c:v>Uttarakhand</c:v>
                </c:pt>
                <c:pt idx="22">
                  <c:v>West Bengal</c:v>
                </c:pt>
              </c:strCache>
            </c:strRef>
          </c:cat>
          <c:val>
            <c:numRef>
              <c:f>Sheet4!$B$4:$B$27</c:f>
              <c:numCache>
                <c:formatCode>General</c:formatCode>
                <c:ptCount val="23"/>
                <c:pt idx="0">
                  <c:v>229.65</c:v>
                </c:pt>
                <c:pt idx="1">
                  <c:v>290.64999999999998</c:v>
                </c:pt>
                <c:pt idx="2">
                  <c:v>57.6</c:v>
                </c:pt>
                <c:pt idx="3">
                  <c:v>71.569999999999993</c:v>
                </c:pt>
                <c:pt idx="4">
                  <c:v>539.39</c:v>
                </c:pt>
                <c:pt idx="5">
                  <c:v>202.97000000000003</c:v>
                </c:pt>
                <c:pt idx="6">
                  <c:v>61.27</c:v>
                </c:pt>
                <c:pt idx="7">
                  <c:v>77.03</c:v>
                </c:pt>
                <c:pt idx="8">
                  <c:v>71.16</c:v>
                </c:pt>
                <c:pt idx="9">
                  <c:v>384.84</c:v>
                </c:pt>
                <c:pt idx="10">
                  <c:v>291.48</c:v>
                </c:pt>
                <c:pt idx="11">
                  <c:v>133.19999999999999</c:v>
                </c:pt>
                <c:pt idx="12">
                  <c:v>844.69</c:v>
                </c:pt>
                <c:pt idx="13">
                  <c:v>74.61</c:v>
                </c:pt>
                <c:pt idx="14">
                  <c:v>269.3</c:v>
                </c:pt>
                <c:pt idx="15">
                  <c:v>72.400000000000006</c:v>
                </c:pt>
                <c:pt idx="16">
                  <c:v>456.48</c:v>
                </c:pt>
                <c:pt idx="17">
                  <c:v>213.17</c:v>
                </c:pt>
                <c:pt idx="18">
                  <c:v>1268.4400000000005</c:v>
                </c:pt>
                <c:pt idx="19">
                  <c:v>295.13</c:v>
                </c:pt>
                <c:pt idx="20">
                  <c:v>592.38000000000011</c:v>
                </c:pt>
                <c:pt idx="21">
                  <c:v>83.16</c:v>
                </c:pt>
                <c:pt idx="22">
                  <c:v>538.09999999999991</c:v>
                </c:pt>
              </c:numCache>
            </c:numRef>
          </c:val>
          <c:extLst>
            <c:ext xmlns:c16="http://schemas.microsoft.com/office/drawing/2014/chart" uri="{C3380CC4-5D6E-409C-BE32-E72D297353CC}">
              <c16:uniqueId val="{00000000-12D2-4E4B-8BE5-B5E6A5DBE23D}"/>
            </c:ext>
          </c:extLst>
        </c:ser>
        <c:ser>
          <c:idx val="1"/>
          <c:order val="1"/>
          <c:tx>
            <c:strRef>
              <c:f>Sheet4!$C$3</c:f>
              <c:strCache>
                <c:ptCount val="1"/>
                <c:pt idx="0">
                  <c:v>Sum of PERCEPTION</c:v>
                </c:pt>
              </c:strCache>
            </c:strRef>
          </c:tx>
          <c:spPr>
            <a:solidFill>
              <a:schemeClr val="accent2"/>
            </a:solidFill>
            <a:ln>
              <a:noFill/>
            </a:ln>
            <a:effectLst/>
          </c:spPr>
          <c:invertIfNegative val="0"/>
          <c:cat>
            <c:strRef>
              <c:f>Sheet4!$A$4:$A$27</c:f>
              <c:strCache>
                <c:ptCount val="23"/>
                <c:pt idx="0">
                  <c:v>Andhra Pradesh</c:v>
                </c:pt>
                <c:pt idx="1">
                  <c:v>Assam</c:v>
                </c:pt>
                <c:pt idx="2">
                  <c:v>Bihar</c:v>
                </c:pt>
                <c:pt idx="3">
                  <c:v>Chandigarh</c:v>
                </c:pt>
                <c:pt idx="4">
                  <c:v>Delhi</c:v>
                </c:pt>
                <c:pt idx="5">
                  <c:v>Gujarat</c:v>
                </c:pt>
                <c:pt idx="6">
                  <c:v>Himachal Pradesh</c:v>
                </c:pt>
                <c:pt idx="7">
                  <c:v>Jammu and Kashmir</c:v>
                </c:pt>
                <c:pt idx="8">
                  <c:v>Jharkhand</c:v>
                </c:pt>
                <c:pt idx="9">
                  <c:v>Karnataka</c:v>
                </c:pt>
                <c:pt idx="10">
                  <c:v>Kerala</c:v>
                </c:pt>
                <c:pt idx="11">
                  <c:v>Madhya Pradesh</c:v>
                </c:pt>
                <c:pt idx="12">
                  <c:v>Maharashtra</c:v>
                </c:pt>
                <c:pt idx="13">
                  <c:v>Meghalaya</c:v>
                </c:pt>
                <c:pt idx="14">
                  <c:v>Odisha</c:v>
                </c:pt>
                <c:pt idx="15">
                  <c:v>Pondicherry</c:v>
                </c:pt>
                <c:pt idx="16">
                  <c:v>Punjab</c:v>
                </c:pt>
                <c:pt idx="17">
                  <c:v>Rajasthan</c:v>
                </c:pt>
                <c:pt idx="18">
                  <c:v>Tamil Nadu</c:v>
                </c:pt>
                <c:pt idx="19">
                  <c:v>Telangana</c:v>
                </c:pt>
                <c:pt idx="20">
                  <c:v>Uttar Pradesh</c:v>
                </c:pt>
                <c:pt idx="21">
                  <c:v>Uttarakhand</c:v>
                </c:pt>
                <c:pt idx="22">
                  <c:v>West Bengal</c:v>
                </c:pt>
              </c:strCache>
            </c:strRef>
          </c:cat>
          <c:val>
            <c:numRef>
              <c:f>Sheet4!$C$4:$C$27</c:f>
              <c:numCache>
                <c:formatCode>General</c:formatCode>
                <c:ptCount val="23"/>
                <c:pt idx="0">
                  <c:v>26.12</c:v>
                </c:pt>
                <c:pt idx="1">
                  <c:v>75.989999999999995</c:v>
                </c:pt>
                <c:pt idx="2">
                  <c:v>16.41</c:v>
                </c:pt>
                <c:pt idx="3">
                  <c:v>37.31</c:v>
                </c:pt>
                <c:pt idx="4">
                  <c:v>268.14</c:v>
                </c:pt>
                <c:pt idx="5">
                  <c:v>36.81</c:v>
                </c:pt>
                <c:pt idx="6">
                  <c:v>12.73</c:v>
                </c:pt>
                <c:pt idx="7">
                  <c:v>2.1800000000000002</c:v>
                </c:pt>
                <c:pt idx="8">
                  <c:v>27</c:v>
                </c:pt>
                <c:pt idx="9">
                  <c:v>179.89</c:v>
                </c:pt>
                <c:pt idx="10">
                  <c:v>26.91</c:v>
                </c:pt>
                <c:pt idx="11">
                  <c:v>24.009999999999998</c:v>
                </c:pt>
                <c:pt idx="12">
                  <c:v>232.05</c:v>
                </c:pt>
                <c:pt idx="13">
                  <c:v>11.62</c:v>
                </c:pt>
                <c:pt idx="14">
                  <c:v>61.080000000000005</c:v>
                </c:pt>
                <c:pt idx="15">
                  <c:v>17.89</c:v>
                </c:pt>
                <c:pt idx="16">
                  <c:v>146.96999999999997</c:v>
                </c:pt>
                <c:pt idx="17">
                  <c:v>48.860000000000007</c:v>
                </c:pt>
                <c:pt idx="18">
                  <c:v>494.11000000000007</c:v>
                </c:pt>
                <c:pt idx="19">
                  <c:v>120.57000000000002</c:v>
                </c:pt>
                <c:pt idx="20">
                  <c:v>231.38</c:v>
                </c:pt>
                <c:pt idx="21">
                  <c:v>47.28</c:v>
                </c:pt>
                <c:pt idx="22">
                  <c:v>243.13</c:v>
                </c:pt>
              </c:numCache>
            </c:numRef>
          </c:val>
          <c:extLst>
            <c:ext xmlns:c16="http://schemas.microsoft.com/office/drawing/2014/chart" uri="{C3380CC4-5D6E-409C-BE32-E72D297353CC}">
              <c16:uniqueId val="{00000001-12D2-4E4B-8BE5-B5E6A5DBE23D}"/>
            </c:ext>
          </c:extLst>
        </c:ser>
        <c:dLbls>
          <c:showLegendKey val="0"/>
          <c:showVal val="0"/>
          <c:showCatName val="0"/>
          <c:showSerName val="0"/>
          <c:showPercent val="0"/>
          <c:showBubbleSize val="0"/>
        </c:dLbls>
        <c:gapWidth val="219"/>
        <c:overlap val="-27"/>
        <c:axId val="1119094799"/>
        <c:axId val="1119095759"/>
      </c:barChart>
      <c:catAx>
        <c:axId val="111909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95759"/>
        <c:crosses val="autoZero"/>
        <c:auto val="1"/>
        <c:lblAlgn val="ctr"/>
        <c:lblOffset val="100"/>
        <c:noMultiLvlLbl val="0"/>
      </c:catAx>
      <c:valAx>
        <c:axId val="1119095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9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2020.xlsx]Sheet5!PivotTable14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university by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Sheet5!$B$3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9AE-46A3-90F1-62DCA136AC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AE-46A3-90F1-62DCA136AC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9AE-46A3-90F1-62DCA136AC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9AE-46A3-90F1-62DCA136AC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9AE-46A3-90F1-62DCA136AC18}"/>
              </c:ext>
            </c:extLst>
          </c:dPt>
          <c:cat>
            <c:strRef>
              <c:f>Sheet5!$A$4:$A$9</c:f>
              <c:strCache>
                <c:ptCount val="5"/>
                <c:pt idx="0">
                  <c:v>Indian Institute of Technology Kanpur</c:v>
                </c:pt>
                <c:pt idx="1">
                  <c:v>Indian Institute of Technology Delhi</c:v>
                </c:pt>
                <c:pt idx="2">
                  <c:v>Indian Institute of Technology Bombay</c:v>
                </c:pt>
                <c:pt idx="3">
                  <c:v>Indian Institute of Science</c:v>
                </c:pt>
                <c:pt idx="4">
                  <c:v>Indian Institute of Technology Madras</c:v>
                </c:pt>
              </c:strCache>
            </c:strRef>
          </c:cat>
          <c:val>
            <c:numRef>
              <c:f>Sheet5!$B$4:$B$9</c:f>
              <c:numCache>
                <c:formatCode>0.00%</c:formatCode>
                <c:ptCount val="5"/>
                <c:pt idx="0">
                  <c:v>0.18649439297903461</c:v>
                </c:pt>
                <c:pt idx="1">
                  <c:v>0.19929302779132133</c:v>
                </c:pt>
                <c:pt idx="2">
                  <c:v>0.20117016089712336</c:v>
                </c:pt>
                <c:pt idx="3">
                  <c:v>0.20153583617747442</c:v>
                </c:pt>
                <c:pt idx="4">
                  <c:v>0.21150658215504634</c:v>
                </c:pt>
              </c:numCache>
            </c:numRef>
          </c:val>
          <c:extLst>
            <c:ext xmlns:c16="http://schemas.microsoft.com/office/drawing/2014/chart" uri="{C3380CC4-5D6E-409C-BE32-E72D297353CC}">
              <c16:uniqueId val="{00000000-7652-491B-B993-655CD6BF087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2020.xlsx]Sheet5!PivotTable14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a:t>
            </a:r>
            <a:r>
              <a:rPr lang="en-US" baseline="0"/>
              <a:t> university by 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6359513884293876"/>
          <c:y val="0.12165661609372"/>
          <c:w val="0.51012448132780086"/>
          <c:h val="0.79316129032258065"/>
        </c:manualLayout>
      </c:layout>
      <c:barChart>
        <c:barDir val="bar"/>
        <c:grouping val="stacked"/>
        <c:varyColors val="0"/>
        <c:ser>
          <c:idx val="0"/>
          <c:order val="0"/>
          <c:tx>
            <c:strRef>
              <c:f>Sheet5!$B$3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566A-40F5-B78D-28BD52C79AA7}"/>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566A-40F5-B78D-28BD52C79AA7}"/>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566A-40F5-B78D-28BD52C79AA7}"/>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7-566A-40F5-B78D-28BD52C79AA7}"/>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9-566A-40F5-B78D-28BD52C79AA7}"/>
              </c:ext>
            </c:extLst>
          </c:dPt>
          <c:cat>
            <c:strRef>
              <c:f>Sheet5!$A$4:$A$9</c:f>
              <c:strCache>
                <c:ptCount val="5"/>
                <c:pt idx="0">
                  <c:v>Indian Institute of Technology Kanpur</c:v>
                </c:pt>
                <c:pt idx="1">
                  <c:v>Indian Institute of Technology Delhi</c:v>
                </c:pt>
                <c:pt idx="2">
                  <c:v>Indian Institute of Technology Bombay</c:v>
                </c:pt>
                <c:pt idx="3">
                  <c:v>Indian Institute of Science</c:v>
                </c:pt>
                <c:pt idx="4">
                  <c:v>Indian Institute of Technology Madras</c:v>
                </c:pt>
              </c:strCache>
            </c:strRef>
          </c:cat>
          <c:val>
            <c:numRef>
              <c:f>Sheet5!$B$4:$B$9</c:f>
              <c:numCache>
                <c:formatCode>0.00%</c:formatCode>
                <c:ptCount val="5"/>
                <c:pt idx="0">
                  <c:v>0.18649439297903461</c:v>
                </c:pt>
                <c:pt idx="1">
                  <c:v>0.19929302779132133</c:v>
                </c:pt>
                <c:pt idx="2">
                  <c:v>0.20117016089712336</c:v>
                </c:pt>
                <c:pt idx="3">
                  <c:v>0.20153583617747442</c:v>
                </c:pt>
                <c:pt idx="4">
                  <c:v>0.21150658215504634</c:v>
                </c:pt>
              </c:numCache>
            </c:numRef>
          </c:val>
          <c:extLst>
            <c:ext xmlns:c16="http://schemas.microsoft.com/office/drawing/2014/chart" uri="{C3380CC4-5D6E-409C-BE32-E72D297353CC}">
              <c16:uniqueId val="{0000000A-566A-40F5-B78D-28BD52C79AA7}"/>
            </c:ext>
          </c:extLst>
        </c:ser>
        <c:dLbls>
          <c:showLegendKey val="0"/>
          <c:showVal val="0"/>
          <c:showCatName val="0"/>
          <c:showSerName val="0"/>
          <c:showPercent val="0"/>
          <c:showBubbleSize val="0"/>
        </c:dLbls>
        <c:gapWidth val="100"/>
        <c:overlap val="100"/>
        <c:axId val="1137878048"/>
        <c:axId val="1137884288"/>
      </c:barChart>
      <c:valAx>
        <c:axId val="1137884288"/>
        <c:scaling>
          <c:orientation val="minMax"/>
        </c:scaling>
        <c:delete val="1"/>
        <c:axPos val="b"/>
        <c:numFmt formatCode="0.00%" sourceLinked="1"/>
        <c:majorTickMark val="out"/>
        <c:minorTickMark val="none"/>
        <c:tickLblPos val="nextTo"/>
        <c:crossAx val="1137878048"/>
        <c:crossBetween val="between"/>
      </c:valAx>
      <c:catAx>
        <c:axId val="1137878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884288"/>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2020.xlsx]Sheet4!PivotTable13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total of GO and Perception by State</a:t>
            </a:r>
            <a:endParaRPr lang="en-US"/>
          </a:p>
        </c:rich>
      </c:tx>
      <c:layout>
        <c:manualLayout>
          <c:xMode val="edge"/>
          <c:yMode val="edge"/>
          <c:x val="0.1038914963215805"/>
          <c:y val="2.79720279720279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65320153010924E-2"/>
          <c:y val="0.19622377622377624"/>
          <c:w val="0.85292442785219458"/>
          <c:h val="0.43361966117871631"/>
        </c:manualLayout>
      </c:layout>
      <c:barChart>
        <c:barDir val="col"/>
        <c:grouping val="clustered"/>
        <c:varyColors val="0"/>
        <c:ser>
          <c:idx val="0"/>
          <c:order val="0"/>
          <c:tx>
            <c:strRef>
              <c:f>Sheet4!$B$3</c:f>
              <c:strCache>
                <c:ptCount val="1"/>
                <c:pt idx="0">
                  <c:v>Sum of GO</c:v>
                </c:pt>
              </c:strCache>
            </c:strRef>
          </c:tx>
          <c:spPr>
            <a:solidFill>
              <a:schemeClr val="accent1"/>
            </a:solidFill>
            <a:ln>
              <a:noFill/>
            </a:ln>
            <a:effectLst/>
          </c:spPr>
          <c:invertIfNegative val="0"/>
          <c:cat>
            <c:strRef>
              <c:f>Sheet4!$A$4:$A$27</c:f>
              <c:strCache>
                <c:ptCount val="23"/>
                <c:pt idx="0">
                  <c:v>Andhra Pradesh</c:v>
                </c:pt>
                <c:pt idx="1">
                  <c:v>Assam</c:v>
                </c:pt>
                <c:pt idx="2">
                  <c:v>Bihar</c:v>
                </c:pt>
                <c:pt idx="3">
                  <c:v>Chandigarh</c:v>
                </c:pt>
                <c:pt idx="4">
                  <c:v>Delhi</c:v>
                </c:pt>
                <c:pt idx="5">
                  <c:v>Gujarat</c:v>
                </c:pt>
                <c:pt idx="6">
                  <c:v>Himachal Pradesh</c:v>
                </c:pt>
                <c:pt idx="7">
                  <c:v>Jammu and Kashmir</c:v>
                </c:pt>
                <c:pt idx="8">
                  <c:v>Jharkhand</c:v>
                </c:pt>
                <c:pt idx="9">
                  <c:v>Karnataka</c:v>
                </c:pt>
                <c:pt idx="10">
                  <c:v>Kerala</c:v>
                </c:pt>
                <c:pt idx="11">
                  <c:v>Madhya Pradesh</c:v>
                </c:pt>
                <c:pt idx="12">
                  <c:v>Maharashtra</c:v>
                </c:pt>
                <c:pt idx="13">
                  <c:v>Meghalaya</c:v>
                </c:pt>
                <c:pt idx="14">
                  <c:v>Odisha</c:v>
                </c:pt>
                <c:pt idx="15">
                  <c:v>Pondicherry</c:v>
                </c:pt>
                <c:pt idx="16">
                  <c:v>Punjab</c:v>
                </c:pt>
                <c:pt idx="17">
                  <c:v>Rajasthan</c:v>
                </c:pt>
                <c:pt idx="18">
                  <c:v>Tamil Nadu</c:v>
                </c:pt>
                <c:pt idx="19">
                  <c:v>Telangana</c:v>
                </c:pt>
                <c:pt idx="20">
                  <c:v>Uttar Pradesh</c:v>
                </c:pt>
                <c:pt idx="21">
                  <c:v>Uttarakhand</c:v>
                </c:pt>
                <c:pt idx="22">
                  <c:v>West Bengal</c:v>
                </c:pt>
              </c:strCache>
            </c:strRef>
          </c:cat>
          <c:val>
            <c:numRef>
              <c:f>Sheet4!$B$4:$B$27</c:f>
              <c:numCache>
                <c:formatCode>General</c:formatCode>
                <c:ptCount val="23"/>
                <c:pt idx="0">
                  <c:v>229.65</c:v>
                </c:pt>
                <c:pt idx="1">
                  <c:v>290.64999999999998</c:v>
                </c:pt>
                <c:pt idx="2">
                  <c:v>57.6</c:v>
                </c:pt>
                <c:pt idx="3">
                  <c:v>71.569999999999993</c:v>
                </c:pt>
                <c:pt idx="4">
                  <c:v>539.39</c:v>
                </c:pt>
                <c:pt idx="5">
                  <c:v>202.97000000000003</c:v>
                </c:pt>
                <c:pt idx="6">
                  <c:v>61.27</c:v>
                </c:pt>
                <c:pt idx="7">
                  <c:v>77.03</c:v>
                </c:pt>
                <c:pt idx="8">
                  <c:v>71.16</c:v>
                </c:pt>
                <c:pt idx="9">
                  <c:v>384.84</c:v>
                </c:pt>
                <c:pt idx="10">
                  <c:v>291.48</c:v>
                </c:pt>
                <c:pt idx="11">
                  <c:v>133.19999999999999</c:v>
                </c:pt>
                <c:pt idx="12">
                  <c:v>844.69</c:v>
                </c:pt>
                <c:pt idx="13">
                  <c:v>74.61</c:v>
                </c:pt>
                <c:pt idx="14">
                  <c:v>269.3</c:v>
                </c:pt>
                <c:pt idx="15">
                  <c:v>72.400000000000006</c:v>
                </c:pt>
                <c:pt idx="16">
                  <c:v>456.48</c:v>
                </c:pt>
                <c:pt idx="17">
                  <c:v>213.17</c:v>
                </c:pt>
                <c:pt idx="18">
                  <c:v>1268.4400000000005</c:v>
                </c:pt>
                <c:pt idx="19">
                  <c:v>295.13</c:v>
                </c:pt>
                <c:pt idx="20">
                  <c:v>592.38000000000011</c:v>
                </c:pt>
                <c:pt idx="21">
                  <c:v>83.16</c:v>
                </c:pt>
                <c:pt idx="22">
                  <c:v>538.09999999999991</c:v>
                </c:pt>
              </c:numCache>
            </c:numRef>
          </c:val>
          <c:extLst>
            <c:ext xmlns:c16="http://schemas.microsoft.com/office/drawing/2014/chart" uri="{C3380CC4-5D6E-409C-BE32-E72D297353CC}">
              <c16:uniqueId val="{00000000-D548-416E-AA14-C9E43A522C7B}"/>
            </c:ext>
          </c:extLst>
        </c:ser>
        <c:ser>
          <c:idx val="1"/>
          <c:order val="1"/>
          <c:tx>
            <c:strRef>
              <c:f>Sheet4!$C$3</c:f>
              <c:strCache>
                <c:ptCount val="1"/>
                <c:pt idx="0">
                  <c:v>Sum of PERCEPTION</c:v>
                </c:pt>
              </c:strCache>
            </c:strRef>
          </c:tx>
          <c:spPr>
            <a:solidFill>
              <a:schemeClr val="accent2"/>
            </a:solidFill>
            <a:ln>
              <a:noFill/>
            </a:ln>
            <a:effectLst/>
          </c:spPr>
          <c:invertIfNegative val="0"/>
          <c:cat>
            <c:strRef>
              <c:f>Sheet4!$A$4:$A$27</c:f>
              <c:strCache>
                <c:ptCount val="23"/>
                <c:pt idx="0">
                  <c:v>Andhra Pradesh</c:v>
                </c:pt>
                <c:pt idx="1">
                  <c:v>Assam</c:v>
                </c:pt>
                <c:pt idx="2">
                  <c:v>Bihar</c:v>
                </c:pt>
                <c:pt idx="3">
                  <c:v>Chandigarh</c:v>
                </c:pt>
                <c:pt idx="4">
                  <c:v>Delhi</c:v>
                </c:pt>
                <c:pt idx="5">
                  <c:v>Gujarat</c:v>
                </c:pt>
                <c:pt idx="6">
                  <c:v>Himachal Pradesh</c:v>
                </c:pt>
                <c:pt idx="7">
                  <c:v>Jammu and Kashmir</c:v>
                </c:pt>
                <c:pt idx="8">
                  <c:v>Jharkhand</c:v>
                </c:pt>
                <c:pt idx="9">
                  <c:v>Karnataka</c:v>
                </c:pt>
                <c:pt idx="10">
                  <c:v>Kerala</c:v>
                </c:pt>
                <c:pt idx="11">
                  <c:v>Madhya Pradesh</c:v>
                </c:pt>
                <c:pt idx="12">
                  <c:v>Maharashtra</c:v>
                </c:pt>
                <c:pt idx="13">
                  <c:v>Meghalaya</c:v>
                </c:pt>
                <c:pt idx="14">
                  <c:v>Odisha</c:v>
                </c:pt>
                <c:pt idx="15">
                  <c:v>Pondicherry</c:v>
                </c:pt>
                <c:pt idx="16">
                  <c:v>Punjab</c:v>
                </c:pt>
                <c:pt idx="17">
                  <c:v>Rajasthan</c:v>
                </c:pt>
                <c:pt idx="18">
                  <c:v>Tamil Nadu</c:v>
                </c:pt>
                <c:pt idx="19">
                  <c:v>Telangana</c:v>
                </c:pt>
                <c:pt idx="20">
                  <c:v>Uttar Pradesh</c:v>
                </c:pt>
                <c:pt idx="21">
                  <c:v>Uttarakhand</c:v>
                </c:pt>
                <c:pt idx="22">
                  <c:v>West Bengal</c:v>
                </c:pt>
              </c:strCache>
            </c:strRef>
          </c:cat>
          <c:val>
            <c:numRef>
              <c:f>Sheet4!$C$4:$C$27</c:f>
              <c:numCache>
                <c:formatCode>General</c:formatCode>
                <c:ptCount val="23"/>
                <c:pt idx="0">
                  <c:v>26.12</c:v>
                </c:pt>
                <c:pt idx="1">
                  <c:v>75.989999999999995</c:v>
                </c:pt>
                <c:pt idx="2">
                  <c:v>16.41</c:v>
                </c:pt>
                <c:pt idx="3">
                  <c:v>37.31</c:v>
                </c:pt>
                <c:pt idx="4">
                  <c:v>268.14</c:v>
                </c:pt>
                <c:pt idx="5">
                  <c:v>36.81</c:v>
                </c:pt>
                <c:pt idx="6">
                  <c:v>12.73</c:v>
                </c:pt>
                <c:pt idx="7">
                  <c:v>2.1800000000000002</c:v>
                </c:pt>
                <c:pt idx="8">
                  <c:v>27</c:v>
                </c:pt>
                <c:pt idx="9">
                  <c:v>179.89</c:v>
                </c:pt>
                <c:pt idx="10">
                  <c:v>26.91</c:v>
                </c:pt>
                <c:pt idx="11">
                  <c:v>24.009999999999998</c:v>
                </c:pt>
                <c:pt idx="12">
                  <c:v>232.05</c:v>
                </c:pt>
                <c:pt idx="13">
                  <c:v>11.62</c:v>
                </c:pt>
                <c:pt idx="14">
                  <c:v>61.080000000000005</c:v>
                </c:pt>
                <c:pt idx="15">
                  <c:v>17.89</c:v>
                </c:pt>
                <c:pt idx="16">
                  <c:v>146.96999999999997</c:v>
                </c:pt>
                <c:pt idx="17">
                  <c:v>48.860000000000007</c:v>
                </c:pt>
                <c:pt idx="18">
                  <c:v>494.11000000000007</c:v>
                </c:pt>
                <c:pt idx="19">
                  <c:v>120.57000000000002</c:v>
                </c:pt>
                <c:pt idx="20">
                  <c:v>231.38</c:v>
                </c:pt>
                <c:pt idx="21">
                  <c:v>47.28</c:v>
                </c:pt>
                <c:pt idx="22">
                  <c:v>243.13</c:v>
                </c:pt>
              </c:numCache>
            </c:numRef>
          </c:val>
          <c:extLst>
            <c:ext xmlns:c16="http://schemas.microsoft.com/office/drawing/2014/chart" uri="{C3380CC4-5D6E-409C-BE32-E72D297353CC}">
              <c16:uniqueId val="{00000001-D548-416E-AA14-C9E43A522C7B}"/>
            </c:ext>
          </c:extLst>
        </c:ser>
        <c:dLbls>
          <c:showLegendKey val="0"/>
          <c:showVal val="0"/>
          <c:showCatName val="0"/>
          <c:showSerName val="0"/>
          <c:showPercent val="0"/>
          <c:showBubbleSize val="0"/>
        </c:dLbls>
        <c:gapWidth val="219"/>
        <c:overlap val="-27"/>
        <c:axId val="1119094799"/>
        <c:axId val="1119095759"/>
      </c:barChart>
      <c:catAx>
        <c:axId val="1119094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95759"/>
        <c:crosses val="autoZero"/>
        <c:auto val="1"/>
        <c:lblAlgn val="ctr"/>
        <c:lblOffset val="100"/>
        <c:noMultiLvlLbl val="0"/>
      </c:catAx>
      <c:valAx>
        <c:axId val="1119095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9094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University who score btween 70 and 100 in TLR</a:t>
            </a:r>
          </a:p>
        </c:rich>
      </c:tx>
      <c:layout>
        <c:manualLayout>
          <c:xMode val="edge"/>
          <c:yMode val="edge"/>
          <c:x val="0.20586526031261018"/>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Sheet2!$A$4:$A$15</c:f>
              <c:strCache>
                <c:ptCount val="11"/>
                <c:pt idx="0">
                  <c:v>Jawaharlal Nehru University</c:v>
                </c:pt>
                <c:pt idx="1">
                  <c:v>Indian Institute of Technology Gandhinagar</c:v>
                </c:pt>
                <c:pt idx="2">
                  <c:v>Indian Institute of Technology Ropar</c:v>
                </c:pt>
                <c:pt idx="3">
                  <c:v>Indian Institute of Technology Guwahati</c:v>
                </c:pt>
                <c:pt idx="4">
                  <c:v>Indian Institute of Technology Kharagpur</c:v>
                </c:pt>
                <c:pt idx="5">
                  <c:v>Indian Institute of Technology Roorkee</c:v>
                </c:pt>
                <c:pt idx="6">
                  <c:v>Indian Institute of Science</c:v>
                </c:pt>
                <c:pt idx="7">
                  <c:v>Indian Institute of Technology Kanpur</c:v>
                </c:pt>
                <c:pt idx="8">
                  <c:v>Indian Institute of Technology Bombay</c:v>
                </c:pt>
                <c:pt idx="9">
                  <c:v>Indian Institute of Technology Delhi</c:v>
                </c:pt>
                <c:pt idx="10">
                  <c:v>Indian Institute of Technology Madras</c:v>
                </c:pt>
              </c:strCache>
            </c:strRef>
          </c:cat>
          <c:val>
            <c:numRef>
              <c:f>Sheet2!$B$4:$B$15</c:f>
              <c:numCache>
                <c:formatCode>General</c:formatCode>
                <c:ptCount val="11"/>
                <c:pt idx="0">
                  <c:v>71.19</c:v>
                </c:pt>
                <c:pt idx="1">
                  <c:v>71.260000000000005</c:v>
                </c:pt>
                <c:pt idx="2">
                  <c:v>72.760000000000005</c:v>
                </c:pt>
                <c:pt idx="3">
                  <c:v>73.75</c:v>
                </c:pt>
                <c:pt idx="4">
                  <c:v>74.25</c:v>
                </c:pt>
                <c:pt idx="5">
                  <c:v>76.680000000000007</c:v>
                </c:pt>
                <c:pt idx="6">
                  <c:v>79.13</c:v>
                </c:pt>
                <c:pt idx="7">
                  <c:v>80.5</c:v>
                </c:pt>
                <c:pt idx="8">
                  <c:v>83.52</c:v>
                </c:pt>
                <c:pt idx="9">
                  <c:v>84.02</c:v>
                </c:pt>
                <c:pt idx="10">
                  <c:v>85.61</c:v>
                </c:pt>
              </c:numCache>
            </c:numRef>
          </c:val>
          <c:extLst>
            <c:ext xmlns:c16="http://schemas.microsoft.com/office/drawing/2014/chart" uri="{C3380CC4-5D6E-409C-BE32-E72D297353CC}">
              <c16:uniqueId val="{00000000-7A0A-47A4-A243-4D4F921CE15E}"/>
            </c:ext>
          </c:extLst>
        </c:ser>
        <c:dLbls>
          <c:showLegendKey val="0"/>
          <c:showVal val="0"/>
          <c:showCatName val="0"/>
          <c:showSerName val="0"/>
          <c:showPercent val="0"/>
          <c:showBubbleSize val="0"/>
        </c:dLbls>
        <c:gapWidth val="219"/>
        <c:axId val="1758493520"/>
        <c:axId val="1758499280"/>
      </c:barChart>
      <c:catAx>
        <c:axId val="1758493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99280"/>
        <c:crosses val="autoZero"/>
        <c:auto val="1"/>
        <c:lblAlgn val="ctr"/>
        <c:lblOffset val="100"/>
        <c:noMultiLvlLbl val="0"/>
      </c:catAx>
      <c:valAx>
        <c:axId val="17584992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849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[NIRF Ranking 2020.xlsx]Sheet1!PivotTable9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university by ranking</a:t>
            </a:r>
            <a:endParaRPr lang="en-US"/>
          </a:p>
        </c:rich>
      </c:tx>
      <c:layout>
        <c:manualLayout>
          <c:xMode val="edge"/>
          <c:yMode val="edge"/>
          <c:x val="0.27383645456480105"/>
          <c:y val="5.774009018103506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cat>
            <c:strRef>
              <c:f>Sheet1!$A$4:$A$19</c:f>
              <c:strCache>
                <c:ptCount val="15"/>
                <c:pt idx="0">
                  <c:v>Indian Institute of Technology Madras</c:v>
                </c:pt>
                <c:pt idx="1">
                  <c:v>Indian Institute of Science</c:v>
                </c:pt>
                <c:pt idx="2">
                  <c:v>Indian Institute of Technology Bombay</c:v>
                </c:pt>
                <c:pt idx="3">
                  <c:v>Indian Institute of Technology Delhi</c:v>
                </c:pt>
                <c:pt idx="4">
                  <c:v>Indian Institute of Technology Kanpur</c:v>
                </c:pt>
                <c:pt idx="5">
                  <c:v>Indian Institute of Technology Kharagpur</c:v>
                </c:pt>
                <c:pt idx="6">
                  <c:v>Indian Institute of Technology Roorkee</c:v>
                </c:pt>
                <c:pt idx="7">
                  <c:v>Indian Institute of Technology Guwahati</c:v>
                </c:pt>
                <c:pt idx="8">
                  <c:v>Jawaharlal Nehru University</c:v>
                </c:pt>
                <c:pt idx="9">
                  <c:v>Banaras Hindu University</c:v>
                </c:pt>
                <c:pt idx="10">
                  <c:v>Calcutta University</c:v>
                </c:pt>
                <c:pt idx="11">
                  <c:v>Amrita Vishwa Vidyapeetham</c:v>
                </c:pt>
                <c:pt idx="12">
                  <c:v>Jamia Millia Islamia</c:v>
                </c:pt>
                <c:pt idx="13">
                  <c:v>Jadavpur University</c:v>
                </c:pt>
                <c:pt idx="14">
                  <c:v>Manipal Academy of Higher Education</c:v>
                </c:pt>
              </c:strCache>
            </c:strRef>
          </c:cat>
          <c:val>
            <c:numRef>
              <c:f>Sheet1!$B$4:$B$19</c:f>
              <c:numCache>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Cache>
            </c:numRef>
          </c:val>
          <c:extLst>
            <c:ext xmlns:c16="http://schemas.microsoft.com/office/drawing/2014/chart" uri="{C3380CC4-5D6E-409C-BE32-E72D297353CC}">
              <c16:uniqueId val="{00000000-1FBF-4371-A09D-63236ED68A0D}"/>
            </c:ext>
          </c:extLst>
        </c:ser>
        <c:dLbls>
          <c:showLegendKey val="0"/>
          <c:showVal val="0"/>
          <c:showCatName val="0"/>
          <c:showSerName val="0"/>
          <c:showPercent val="0"/>
          <c:showBubbleSize val="0"/>
        </c:dLbls>
        <c:gapWidth val="182"/>
        <c:axId val="773736543"/>
        <c:axId val="773733183"/>
      </c:barChart>
      <c:catAx>
        <c:axId val="7737365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33183"/>
        <c:crosses val="autoZero"/>
        <c:auto val="1"/>
        <c:lblAlgn val="ctr"/>
        <c:lblOffset val="100"/>
        <c:noMultiLvlLbl val="0"/>
      </c:catAx>
      <c:valAx>
        <c:axId val="7737331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373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82550</xdr:colOff>
      <xdr:row>8</xdr:row>
      <xdr:rowOff>123825</xdr:rowOff>
    </xdr:from>
    <xdr:to>
      <xdr:col>38</xdr:col>
      <xdr:colOff>0</xdr:colOff>
      <xdr:row>23</xdr:row>
      <xdr:rowOff>104775</xdr:rowOff>
    </xdr:to>
    <xdr:graphicFrame macro="">
      <xdr:nvGraphicFramePr>
        <xdr:cNvPr id="2" name="Chart 1">
          <a:extLst>
            <a:ext uri="{FF2B5EF4-FFF2-40B4-BE49-F238E27FC236}">
              <a16:creationId xmlns:a16="http://schemas.microsoft.com/office/drawing/2014/main" id="{C05783B4-CB45-FE5D-CCDC-DB857939F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590550</xdr:colOff>
      <xdr:row>8</xdr:row>
      <xdr:rowOff>120650</xdr:rowOff>
    </xdr:from>
    <xdr:to>
      <xdr:col>9</xdr:col>
      <xdr:colOff>304800</xdr:colOff>
      <xdr:row>23</xdr:row>
      <xdr:rowOff>101600</xdr:rowOff>
    </xdr:to>
    <xdr:graphicFrame macro="">
      <xdr:nvGraphicFramePr>
        <xdr:cNvPr id="2" name="Chart 1">
          <a:extLst>
            <a:ext uri="{FF2B5EF4-FFF2-40B4-BE49-F238E27FC236}">
              <a16:creationId xmlns:a16="http://schemas.microsoft.com/office/drawing/2014/main" id="{F803C273-E6AC-7143-1F12-66387AD98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50800</xdr:colOff>
      <xdr:row>6</xdr:row>
      <xdr:rowOff>25400</xdr:rowOff>
    </xdr:from>
    <xdr:to>
      <xdr:col>11</xdr:col>
      <xdr:colOff>355600</xdr:colOff>
      <xdr:row>23</xdr:row>
      <xdr:rowOff>104775</xdr:rowOff>
    </xdr:to>
    <xdr:graphicFrame macro="">
      <xdr:nvGraphicFramePr>
        <xdr:cNvPr id="2" name="Chart 1">
          <a:extLst>
            <a:ext uri="{FF2B5EF4-FFF2-40B4-BE49-F238E27FC236}">
              <a16:creationId xmlns:a16="http://schemas.microsoft.com/office/drawing/2014/main" id="{22EE9E30-5492-6415-B8CD-9ABB4B962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336550</xdr:colOff>
      <xdr:row>3</xdr:row>
      <xdr:rowOff>177800</xdr:rowOff>
    </xdr:from>
    <xdr:to>
      <xdr:col>9</xdr:col>
      <xdr:colOff>495300</xdr:colOff>
      <xdr:row>23</xdr:row>
      <xdr:rowOff>101600</xdr:rowOff>
    </xdr:to>
    <xdr:graphicFrame macro="">
      <xdr:nvGraphicFramePr>
        <xdr:cNvPr id="3" name="Chart 2">
          <a:extLst>
            <a:ext uri="{FF2B5EF4-FFF2-40B4-BE49-F238E27FC236}">
              <a16:creationId xmlns:a16="http://schemas.microsoft.com/office/drawing/2014/main" id="{A319253E-F7FA-8B6D-C455-54A1434021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228600</xdr:colOff>
      <xdr:row>3</xdr:row>
      <xdr:rowOff>63500</xdr:rowOff>
    </xdr:from>
    <xdr:to>
      <xdr:col>11</xdr:col>
      <xdr:colOff>495300</xdr:colOff>
      <xdr:row>17</xdr:row>
      <xdr:rowOff>88900</xdr:rowOff>
    </xdr:to>
    <xdr:graphicFrame macro="">
      <xdr:nvGraphicFramePr>
        <xdr:cNvPr id="3" name="Chart 2">
          <a:extLst>
            <a:ext uri="{FF2B5EF4-FFF2-40B4-BE49-F238E27FC236}">
              <a16:creationId xmlns:a16="http://schemas.microsoft.com/office/drawing/2014/main" id="{93F384E8-EABB-41AA-B39F-9049BE42FF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88900</xdr:colOff>
      <xdr:row>18</xdr:row>
      <xdr:rowOff>6351</xdr:rowOff>
    </xdr:from>
    <xdr:to>
      <xdr:col>19</xdr:col>
      <xdr:colOff>241300</xdr:colOff>
      <xdr:row>32</xdr:row>
      <xdr:rowOff>120650</xdr:rowOff>
    </xdr:to>
    <xdr:graphicFrame macro="">
      <xdr:nvGraphicFramePr>
        <xdr:cNvPr id="4" name="Chart 3">
          <a:extLst>
            <a:ext uri="{FF2B5EF4-FFF2-40B4-BE49-F238E27FC236}">
              <a16:creationId xmlns:a16="http://schemas.microsoft.com/office/drawing/2014/main" id="{57B7F232-D326-4A22-AD49-2C3C36E00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196850</xdr:colOff>
      <xdr:row>18</xdr:row>
      <xdr:rowOff>63500</xdr:rowOff>
    </xdr:from>
    <xdr:to>
      <xdr:col>11</xdr:col>
      <xdr:colOff>501650</xdr:colOff>
      <xdr:row>32</xdr:row>
      <xdr:rowOff>88900</xdr:rowOff>
    </xdr:to>
    <xdr:graphicFrame macro="">
      <xdr:nvGraphicFramePr>
        <xdr:cNvPr id="5" name="Chart 4">
          <a:extLst>
            <a:ext uri="{FF2B5EF4-FFF2-40B4-BE49-F238E27FC236}">
              <a16:creationId xmlns:a16="http://schemas.microsoft.com/office/drawing/2014/main" id="{145E0547-F66E-4866-BA10-7E08FBC5EC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69850</xdr:colOff>
      <xdr:row>3</xdr:row>
      <xdr:rowOff>69850</xdr:rowOff>
    </xdr:from>
    <xdr:to>
      <xdr:col>19</xdr:col>
      <xdr:colOff>222250</xdr:colOff>
      <xdr:row>17</xdr:row>
      <xdr:rowOff>82550</xdr:rowOff>
    </xdr:to>
    <xdr:graphicFrame macro="">
      <xdr:nvGraphicFramePr>
        <xdr:cNvPr id="7" name="Chart 6">
          <a:extLst>
            <a:ext uri="{FF2B5EF4-FFF2-40B4-BE49-F238E27FC236}">
              <a16:creationId xmlns:a16="http://schemas.microsoft.com/office/drawing/2014/main" id="{BB9ED7DF-C21D-43A3-95C2-B109257114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107950</xdr:colOff>
      <xdr:row>3</xdr:row>
      <xdr:rowOff>69850</xdr:rowOff>
    </xdr:from>
    <xdr:to>
      <xdr:col>4</xdr:col>
      <xdr:colOff>107950</xdr:colOff>
      <xdr:row>17</xdr:row>
      <xdr:rowOff>111122</xdr:rowOff>
    </xdr:to>
    <mc:AlternateContent xmlns:mc="http://schemas.openxmlformats.org/markup-compatibility/2006" xmlns:a14="http://schemas.microsoft.com/office/drawing/2010/main">
      <mc:Choice Requires="a14">
        <xdr:graphicFrame macro="">
          <xdr:nvGraphicFramePr>
            <xdr:cNvPr id="8" name="Institute Name">
              <a:extLst>
                <a:ext uri="{FF2B5EF4-FFF2-40B4-BE49-F238E27FC236}">
                  <a16:creationId xmlns:a16="http://schemas.microsoft.com/office/drawing/2014/main" id="{16B5D4F6-9C57-7469-29A8-4A86B912C7DC}"/>
                </a:ext>
              </a:extLst>
            </xdr:cNvPr>
            <xdr:cNvGraphicFramePr/>
          </xdr:nvGraphicFramePr>
          <xdr:xfrm>
            <a:off x="0" y="0"/>
            <a:ext cx="0" cy="0"/>
          </xdr:xfrm>
          <a:graphic>
            <a:graphicData uri="http://schemas.microsoft.com/office/drawing/2010/slicer">
              <sle:slicer xmlns:sle="http://schemas.microsoft.com/office/drawing/2010/slicer" name="Institute Name"/>
            </a:graphicData>
          </a:graphic>
        </xdr:graphicFrame>
      </mc:Choice>
      <mc:Fallback xmlns="">
        <xdr:sp macro="" textlink="">
          <xdr:nvSpPr>
            <xdr:cNvPr id="0" name=""/>
            <xdr:cNvSpPr>
              <a:spLocks noTextEdit="1"/>
            </xdr:cNvSpPr>
          </xdr:nvSpPr>
          <xdr:spPr>
            <a:xfrm>
              <a:off x="717550" y="698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18</xdr:row>
      <xdr:rowOff>44450</xdr:rowOff>
    </xdr:from>
    <xdr:to>
      <xdr:col>4</xdr:col>
      <xdr:colOff>114300</xdr:colOff>
      <xdr:row>32</xdr:row>
      <xdr:rowOff>85722</xdr:rowOff>
    </xdr:to>
    <mc:AlternateContent xmlns:mc="http://schemas.openxmlformats.org/markup-compatibility/2006">
      <mc:Choice xmlns:a14="http://schemas.microsoft.com/office/drawing/2010/main" Requires="a14">
        <xdr:graphicFrame macro="">
          <xdr:nvGraphicFramePr>
            <xdr:cNvPr id="12" name="State">
              <a:extLst>
                <a:ext uri="{FF2B5EF4-FFF2-40B4-BE49-F238E27FC236}">
                  <a16:creationId xmlns:a16="http://schemas.microsoft.com/office/drawing/2014/main" id="{E914C966-E988-7AAB-3539-F76AA45E29CC}"/>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23900" y="3359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63500</xdr:colOff>
      <xdr:row>0</xdr:row>
      <xdr:rowOff>0</xdr:rowOff>
    </xdr:from>
    <xdr:to>
      <xdr:col>19</xdr:col>
      <xdr:colOff>279400</xdr:colOff>
      <xdr:row>2</xdr:row>
      <xdr:rowOff>165100</xdr:rowOff>
    </xdr:to>
    <xdr:sp macro="" textlink="">
      <xdr:nvSpPr>
        <xdr:cNvPr id="2" name="Rectangle 1">
          <a:extLst>
            <a:ext uri="{FF2B5EF4-FFF2-40B4-BE49-F238E27FC236}">
              <a16:creationId xmlns:a16="http://schemas.microsoft.com/office/drawing/2014/main" id="{80286EAB-01E5-72C4-B057-32EF878D28C8}"/>
            </a:ext>
          </a:extLst>
        </xdr:cNvPr>
        <xdr:cNvSpPr/>
      </xdr:nvSpPr>
      <xdr:spPr>
        <a:xfrm>
          <a:off x="673100" y="0"/>
          <a:ext cx="1118870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190500</xdr:colOff>
      <xdr:row>0</xdr:row>
      <xdr:rowOff>82550</xdr:rowOff>
    </xdr:from>
    <xdr:to>
      <xdr:col>11</xdr:col>
      <xdr:colOff>584200</xdr:colOff>
      <xdr:row>2</xdr:row>
      <xdr:rowOff>133350</xdr:rowOff>
    </xdr:to>
    <xdr:sp macro="" textlink="">
      <xdr:nvSpPr>
        <xdr:cNvPr id="6" name="TextBox 5">
          <a:extLst>
            <a:ext uri="{FF2B5EF4-FFF2-40B4-BE49-F238E27FC236}">
              <a16:creationId xmlns:a16="http://schemas.microsoft.com/office/drawing/2014/main" id="{1CDBB124-22DF-E804-75F8-780BA71364F9}"/>
            </a:ext>
          </a:extLst>
        </xdr:cNvPr>
        <xdr:cNvSpPr txBox="1"/>
      </xdr:nvSpPr>
      <xdr:spPr>
        <a:xfrm>
          <a:off x="2019300" y="82550"/>
          <a:ext cx="52705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NIRF University Ranking in</a:t>
          </a:r>
          <a:r>
            <a:rPr lang="en-US" sz="2800" baseline="0">
              <a:solidFill>
                <a:schemeClr val="bg1"/>
              </a:solidFill>
            </a:rPr>
            <a:t> India</a:t>
          </a:r>
          <a:endParaRPr lang="en-US" sz="2800">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060.225719212962" createdVersion="8" refreshedVersion="8" minRefreshableVersion="3" recordCount="100" xr:uid="{3C8E8181-1D4E-4120-AA35-68E7D5BF0F4E}">
  <cacheSource type="worksheet">
    <worksheetSource name="Table1"/>
  </cacheSource>
  <cacheFields count="11">
    <cacheField name="Institute ID" numFmtId="0">
      <sharedItems/>
    </cacheField>
    <cacheField name="Institute Name" numFmtId="0">
      <sharedItems count="100">
        <s v="Indian Institute of Technology Madras"/>
        <s v="Indian Institute of Science"/>
        <s v="Indian Institute of Technology Bombay"/>
        <s v="Indian Institute of Technology Delhi"/>
        <s v="Indian Institute of Technology Kanpur"/>
        <s v="Indian Institute of Technology Kharagpur"/>
        <s v="Indian Institute of Technology Roorkee"/>
        <s v="Indian Institute of Technology Guwahati"/>
        <s v="Jawaharlal Nehru University"/>
        <s v="Banaras Hindu University"/>
        <s v="Calcutta University"/>
        <s v="Amrita Vishwa Vidyapeetham"/>
        <s v="Jamia Millia Islamia"/>
        <s v="Jadavpur University"/>
        <s v="Manipal Academy of Higher Education"/>
        <s v="Indian Institute of Technology Hyderabad"/>
        <s v="University of Hyderabad"/>
        <s v="Aligarh Muslim University"/>
        <s v="University of Delhi"/>
        <s v="Savitribai Phule Pune University"/>
        <s v="Vellore Institute of Technology"/>
        <s v="Bharathiar University"/>
        <s v="National Institute of Technology Tiruchirappalli"/>
        <s v="Indian Institute of Science Education &amp; Research Pune"/>
        <s v="Anna University"/>
        <s v="Indian Institute of Technology (Indian School of Mines)"/>
        <s v="Institute of Chemical Technology"/>
        <s v="Indian Institute of Technology (Banaras Hindu University) Varanasi"/>
        <s v="Birla Institute of Technology &amp; Science -Pilani"/>
        <s v="Indian Institute of Technology Indore"/>
        <s v="Indian Institute of Technology Ropar"/>
        <s v="National Institute of Technology Karnataka"/>
        <s v="Indian Institute of Technology Gandhinagar"/>
        <s v="Mysore University"/>
        <s v="Indian Institute of Science Education &amp; Research Kolkata"/>
        <s v="Homi Bhabha National Institute"/>
        <s v="Siksha `O` Anusandhan"/>
        <s v="Panjab University"/>
        <s v="Kalinga Institute of Industrial Technology"/>
        <s v="Indian Institute of Science Education &amp; Research, Mohali"/>
        <s v="National Institute of Technology Rourkela"/>
        <s v="Shanmugha Arts Science Technology &amp; Research Academy"/>
        <s v="Kerala University"/>
        <s v="Amity University"/>
        <s v="Thapar Institute of Engineering and Technology"/>
        <s v="Indian Institute of Engineering Science and Technology"/>
        <s v="University of Madras"/>
        <s v="Andhra University, Visakhapatnam"/>
        <s v="Saveetha Institute of Medical and Technical Sciences"/>
        <s v="Indian Institute of Science Education &amp; Research Bhopal"/>
        <s v="Indian Institute of Technology Patna"/>
        <s v="Mahatma Gandhi University"/>
        <s v="S.R.M. Institute of Science and Technology"/>
        <s v="Delhi Technological University"/>
        <s v="Visvesvaraya National Institute of Technology"/>
        <s v="JSS Academy of Higher Education and Research"/>
        <s v="Alagappa University"/>
        <s v="Indian Institute of Technology Bhubaneswar"/>
        <s v="National Institute of Technology Warangal"/>
        <s v="King George`s Medical University"/>
        <s v="Sathyabama Institute of Science and Technology"/>
        <s v="Gujarat University"/>
        <s v="Osmania University"/>
        <s v="Jamia Hamdard"/>
        <s v="Cochin University of Science and Technology"/>
        <s v="Banasthali Vidyapith"/>
        <s v="Gauhati University"/>
        <s v="Symbiosis International"/>
        <s v="Koneru Lakshmaiah Education Foundation University (K L College of Engineering)"/>
        <s v="Tata Institute of Social Sciences"/>
        <s v="National Institute of Technology Durgapur"/>
        <s v="Malaviya National Institute of Technology"/>
        <s v="Tezpur University"/>
        <s v="Kalasalingam Academy of Research and Education"/>
        <s v="Bharath Institute of Higher Education &amp; Research"/>
        <s v="University of Kashmir"/>
        <s v="Chandigarh University"/>
        <s v="Dr. B. R. Ambedkar National Institute of Technology"/>
        <s v="Sri Ramachandra Institute of Higher Education and Research"/>
        <s v="Dr. D. Y. Patil Vidyapeeth"/>
        <s v="Lovely Professional University"/>
        <s v="Indian Institute of Technology Mandi"/>
        <s v="Madurai Kamaraj University"/>
        <s v="Shiv Nadar University"/>
        <s v="Guru Nanak Dev University"/>
        <s v="PSG College of Technology"/>
        <s v="Pondicherry University"/>
        <s v="Motilal Nehru National Institute of Technology"/>
        <s v="Sri Sivasubramaniya Nadar College of Engineering"/>
        <s v="Bharathidasan University"/>
        <s v="North Eastern Hill University"/>
        <s v="Sri Venkateswara University"/>
        <s v="National Institute of Technology Silchar"/>
        <s v="SVKM`s Narsee Monjee Institute of Management Studies"/>
        <s v="Calicut University"/>
        <s v="Mumbai University"/>
        <s v="Visva Bharati"/>
        <s v="Sardar Vallabhbhai National Institute of Technology"/>
        <s v="Guru Gobind Singh Indraprastha University"/>
        <s v="Datta Meghe Institute of Medical Sciences"/>
      </sharedItems>
    </cacheField>
    <cacheField name="TLR" numFmtId="0">
      <sharedItems containsSemiMixedTypes="0" containsString="0" containsNumber="1" minValue="39.94" maxValue="85.61" count="99">
        <n v="85.61"/>
        <n v="79.13"/>
        <n v="83.52"/>
        <n v="84.02"/>
        <n v="80.5"/>
        <n v="74.25"/>
        <n v="76.680000000000007"/>
        <n v="73.75"/>
        <n v="71.19"/>
        <n v="64.5"/>
        <n v="66.2"/>
        <n v="64.23"/>
        <n v="66.44"/>
        <n v="51.7"/>
        <n v="67.680000000000007"/>
        <n v="61.4"/>
        <n v="69.59"/>
        <n v="69.06"/>
        <n v="42.65"/>
        <n v="62.95"/>
        <n v="48.43"/>
        <n v="61.79"/>
        <n v="52.39"/>
        <n v="67.239999999999995"/>
        <n v="51.91"/>
        <n v="48.18"/>
        <n v="50.05"/>
        <n v="55.87"/>
        <n v="55.81"/>
        <n v="57.51"/>
        <n v="72.760000000000005"/>
        <n v="53.81"/>
        <n v="71.260000000000005"/>
        <n v="68.77"/>
        <n v="59.67"/>
        <n v="68.64"/>
        <n v="63.89"/>
        <n v="48.88"/>
        <n v="62.4"/>
        <n v="62.43"/>
        <n v="49.19"/>
        <n v="58.58"/>
        <n v="64.77"/>
        <n v="48.98"/>
        <n v="50.44"/>
        <n v="51.58"/>
        <n v="61.35"/>
        <n v="55.04"/>
        <n v="61.78"/>
        <n v="63.78"/>
        <n v="60.04"/>
        <n v="59.27"/>
        <n v="49.93"/>
        <n v="54.52"/>
        <n v="49.85"/>
        <n v="63.04"/>
        <n v="58.71"/>
        <n v="51.73"/>
        <n v="50.61"/>
        <n v="64.39"/>
        <n v="54.06"/>
        <n v="64.760000000000005"/>
        <n v="52.04"/>
        <n v="57.82"/>
        <n v="54.37"/>
        <n v="54.19"/>
        <n v="55.17"/>
        <n v="61.83"/>
        <n v="58.89"/>
        <n v="61.2"/>
        <n v="50.51"/>
        <n v="56.13"/>
        <n v="58.32"/>
        <n v="56.74"/>
        <n v="55.4"/>
        <n v="60.49"/>
        <n v="57.48"/>
        <n v="54.39"/>
        <n v="64.83"/>
        <n v="65.150000000000006"/>
        <n v="47.55"/>
        <n v="61.71"/>
        <n v="59.5"/>
        <n v="40.78"/>
        <n v="55.37"/>
        <n v="39.94"/>
        <n v="47.86"/>
        <n v="53.36"/>
        <n v="54.74"/>
        <n v="55.53"/>
        <n v="51.21"/>
        <n v="47.28"/>
        <n v="63.31"/>
        <n v="63.32"/>
        <n v="49.58"/>
        <n v="49.51"/>
        <n v="45.31"/>
        <n v="48.12"/>
        <n v="64.06"/>
      </sharedItems>
    </cacheField>
    <cacheField name="RPC" numFmtId="0">
      <sharedItems containsSemiMixedTypes="0" containsString="0" containsNumber="1" minValue="10.35" maxValue="92.51" count="98">
        <n v="92.51"/>
        <n v="91.48"/>
        <n v="87.81"/>
        <n v="84.46"/>
        <n v="75.23"/>
        <n v="76.23"/>
        <n v="68.37"/>
        <n v="66.25"/>
        <n v="44.96"/>
        <n v="45"/>
        <n v="43.92"/>
        <n v="54.33"/>
        <n v="43.43"/>
        <n v="51.72"/>
        <n v="48.17"/>
        <n v="52.64"/>
        <n v="40.74"/>
        <n v="40.86"/>
        <n v="54.23"/>
        <n v="42.77"/>
        <n v="56.83"/>
        <n v="47.45"/>
        <n v="44.58"/>
        <n v="45.58"/>
        <n v="43.09"/>
        <n v="56.64"/>
        <n v="55.82"/>
        <n v="47.41"/>
        <n v="43.13"/>
        <n v="49.25"/>
        <n v="32.92"/>
        <n v="41.74"/>
        <n v="37.15"/>
        <n v="18.79"/>
        <n v="38.82"/>
        <n v="36.450000000000003"/>
        <n v="29.92"/>
        <n v="27.78"/>
        <n v="31.86"/>
        <n v="48.29"/>
        <n v="38.28"/>
        <n v="19.93"/>
        <n v="43.27"/>
        <n v="42.26"/>
        <n v="38.99"/>
        <n v="31.82"/>
        <n v="25.59"/>
        <n v="34.28"/>
        <n v="30.9"/>
        <n v="37.020000000000003"/>
        <n v="34.729999999999997"/>
        <n v="39.07"/>
        <n v="29.82"/>
        <n v="37.31"/>
        <n v="19.39"/>
        <n v="27.32"/>
        <n v="37.83"/>
        <n v="31.04"/>
        <n v="27.23"/>
        <n v="34"/>
        <n v="15.7"/>
        <n v="28.16"/>
        <n v="27.62"/>
        <n v="29.63"/>
        <n v="14.23"/>
        <n v="19.05"/>
        <n v="18.5"/>
        <n v="30.78"/>
        <n v="12.32"/>
        <n v="34.26"/>
        <n v="35.119999999999997"/>
        <n v="30.02"/>
        <n v="21.81"/>
        <n v="24.41"/>
        <n v="19.510000000000002"/>
        <n v="14.24"/>
        <n v="25.23"/>
        <n v="18.350000000000001"/>
        <n v="14.45"/>
        <n v="27.51"/>
        <n v="30.59"/>
        <n v="24.77"/>
        <n v="19.37"/>
        <n v="28.63"/>
        <n v="18.13"/>
        <n v="30.1"/>
        <n v="28.49"/>
        <n v="29.01"/>
        <n v="16.309999999999999"/>
        <n v="19.87"/>
        <n v="32.31"/>
        <n v="14.77"/>
        <n v="16.64"/>
        <n v="19.079999999999998"/>
        <n v="26.16"/>
        <n v="29.28"/>
        <n v="22.64"/>
        <n v="10.35"/>
      </sharedItems>
    </cacheField>
    <cacheField name="GO" numFmtId="0">
      <sharedItems containsSemiMixedTypes="0" containsString="0" containsNumber="1" minValue="53.67" maxValue="100" count="100">
        <n v="86.32"/>
        <n v="78.23"/>
        <n v="80.86"/>
        <n v="75.069999999999993"/>
        <n v="80.739999999999995"/>
        <n v="83.23"/>
        <n v="83.16"/>
        <n v="81.260000000000005"/>
        <n v="95.07"/>
        <n v="100"/>
        <n v="91.72"/>
        <n v="71.349999999999994"/>
        <n v="86.67"/>
        <n v="87.77"/>
        <n v="76.05"/>
        <n v="67.510000000000005"/>
        <n v="77.44"/>
        <n v="80.06"/>
        <n v="82.66"/>
        <n v="86.96"/>
        <n v="69.94"/>
        <n v="74.17"/>
        <n v="71.790000000000006"/>
        <n v="59.31"/>
        <n v="73.11"/>
        <n v="71.16"/>
        <n v="75.959999999999994"/>
        <n v="69.88"/>
        <n v="72.05"/>
        <n v="69.709999999999994"/>
        <n v="62.05"/>
        <n v="73.319999999999993"/>
        <n v="57.21"/>
        <n v="90.54"/>
        <n v="66.260000000000005"/>
        <n v="65.98"/>
        <n v="71.34"/>
        <n v="71.569999999999993"/>
        <n v="70"/>
        <n v="59.58"/>
        <n v="65.319999999999993"/>
        <n v="66.3"/>
        <n v="89.11"/>
        <n v="67.55"/>
        <n v="67.3"/>
        <n v="68.650000000000006"/>
        <n v="66.430000000000007"/>
        <n v="85.84"/>
        <n v="64.91"/>
        <n v="63.49"/>
        <n v="57.6"/>
        <n v="68.77"/>
        <n v="68.47"/>
        <n v="65.95"/>
        <n v="68.930000000000007"/>
        <n v="66.7"/>
        <n v="67.45"/>
        <n v="62.64"/>
        <n v="70.319999999999993"/>
        <n v="62.97"/>
        <n v="64.819999999999993"/>
        <n v="81.28"/>
        <n v="79.86"/>
        <n v="69.75"/>
        <n v="70.28"/>
        <n v="83.55"/>
        <n v="83.56"/>
        <n v="64.52"/>
        <n v="64.62"/>
        <n v="77.33"/>
        <n v="66.66"/>
        <n v="57.57"/>
        <n v="61.65"/>
        <n v="65.2"/>
        <n v="67.59"/>
        <n v="77.03"/>
        <n v="63.4"/>
        <n v="64.17"/>
        <n v="61.13"/>
        <n v="63.29"/>
        <n v="63.87"/>
        <n v="61.27"/>
        <n v="57.68"/>
        <n v="63.5"/>
        <n v="76.11"/>
        <n v="58.69"/>
        <n v="72.400000000000006"/>
        <n v="67.680000000000007"/>
        <n v="59.42"/>
        <n v="53.67"/>
        <n v="74.61"/>
        <n v="79.19"/>
        <n v="64.180000000000007"/>
        <n v="63.13"/>
        <n v="63.32"/>
        <n v="78.349999999999994"/>
        <n v="73.81"/>
        <n v="64.48"/>
        <n v="64.22"/>
        <n v="60.07"/>
      </sharedItems>
    </cacheField>
    <cacheField name="OI" numFmtId="0">
      <sharedItems containsSemiMixedTypes="0" containsString="0" containsNumber="1" minValue="36.58" maxValue="78.430000000000007" count="99">
        <n v="63.57"/>
        <n v="58.39"/>
        <n v="57.48"/>
        <n v="67.97"/>
        <n v="56.97"/>
        <n v="55.35"/>
        <n v="65.31"/>
        <n v="62.95"/>
        <n v="73.36"/>
        <n v="53.13"/>
        <n v="60.98"/>
        <n v="65.540000000000006"/>
        <n v="72.349999999999994"/>
        <n v="50.16"/>
        <n v="65.25"/>
        <n v="58.59"/>
        <n v="58.72"/>
        <n v="56.93"/>
        <n v="59.6"/>
        <n v="50.92"/>
        <n v="59.38"/>
        <n v="53.21"/>
        <n v="63.34"/>
        <n v="58.75"/>
        <n v="51.35"/>
        <n v="55.15"/>
        <n v="46.07"/>
        <n v="56.69"/>
        <n v="59.5"/>
        <n v="56.59"/>
        <n v="63.88"/>
        <n v="65.58"/>
        <n v="64.209999999999994"/>
        <n v="54.24"/>
        <n v="53.53"/>
        <n v="50.79"/>
        <n v="65.89"/>
        <n v="53.49"/>
        <n v="78.430000000000007"/>
        <n v="71.650000000000006"/>
        <n v="51.66"/>
        <n v="57.78"/>
        <n v="51.53"/>
        <n v="64.66"/>
        <n v="56.35"/>
        <n v="50.22"/>
        <n v="53.88"/>
        <n v="54.46"/>
        <n v="65.989999999999995"/>
        <n v="66.63"/>
        <n v="53.94"/>
        <n v="52.55"/>
        <n v="58.6"/>
        <n v="59.25"/>
        <n v="55.11"/>
        <n v="70.040000000000006"/>
        <n v="51.68"/>
        <n v="55.02"/>
        <n v="56.38"/>
        <n v="57.57"/>
        <n v="64.680000000000007"/>
        <n v="56.13"/>
        <n v="51.62"/>
        <n v="60.64"/>
        <n v="52.7"/>
        <n v="75.989999999999995"/>
        <n v="58.4"/>
        <n v="72.16"/>
        <n v="55.99"/>
        <n v="72.28"/>
        <n v="56.15"/>
        <n v="58.38"/>
        <n v="52.17"/>
        <n v="73.06"/>
        <n v="67.94"/>
        <n v="50.12"/>
        <n v="75.44"/>
        <n v="63.76"/>
        <n v="64.73"/>
        <n v="61.56"/>
        <n v="65.97"/>
        <n v="62.07"/>
        <n v="48.43"/>
        <n v="59.14"/>
        <n v="53.77"/>
        <n v="50.17"/>
        <n v="58.18"/>
        <n v="54.77"/>
        <n v="53.63"/>
        <n v="47.8"/>
        <n v="51.63"/>
        <n v="50.61"/>
        <n v="52.84"/>
        <n v="60.92"/>
        <n v="47.78"/>
        <n v="36.58"/>
        <n v="57.03"/>
        <n v="52.45"/>
        <n v="66.19"/>
      </sharedItems>
    </cacheField>
    <cacheField name="PERCEPTION" numFmtId="0">
      <sharedItems containsSemiMixedTypes="0" containsString="0" containsNumber="1" minValue="1.46" maxValue="100" count="65">
        <n v="97.13"/>
        <n v="100"/>
        <n v="91.96"/>
        <n v="93.89"/>
        <n v="79.3"/>
        <n v="82.92"/>
        <n v="47.28"/>
        <n v="47.04"/>
        <n v="54.12"/>
        <n v="49.38"/>
        <n v="39.68"/>
        <n v="34.799999999999997"/>
        <n v="20.25"/>
        <n v="53.3"/>
        <n v="24.18"/>
        <n v="49.61"/>
        <n v="32.130000000000003"/>
        <n v="27"/>
        <n v="44.81"/>
        <n v="16.41"/>
        <n v="38.799999999999997"/>
        <n v="24.6"/>
        <n v="51.82"/>
        <n v="28.91"/>
        <n v="61.72"/>
        <n v="22.04"/>
        <n v="31.08"/>
        <n v="32.81"/>
        <n v="15.91"/>
        <n v="23.76"/>
        <n v="30.01"/>
        <n v="6.85"/>
        <n v="23.34"/>
        <n v="6.22"/>
        <n v="13.28"/>
        <n v="37.31"/>
        <n v="11.06"/>
        <n v="17.89"/>
        <n v="10.48"/>
        <n v="4.91"/>
        <n v="12.18"/>
        <n v="19.32"/>
        <n v="27.77"/>
        <n v="18.37"/>
        <n v="2.1800000000000002"/>
        <n v="8.1"/>
        <n v="4.24"/>
        <n v="25.82"/>
        <n v="15.39"/>
        <n v="18.850000000000001"/>
        <n v="25.01"/>
        <n v="7.48"/>
        <n v="5.57"/>
        <n v="13.82"/>
        <n v="14.88"/>
        <n v="14.35"/>
        <n v="8.7100000000000009"/>
        <n v="9.9"/>
        <n v="11.62"/>
        <n v="20.7"/>
        <n v="12.73"/>
        <n v="43.26"/>
        <n v="2.88"/>
        <n v="21.15"/>
        <n v="1.46"/>
      </sharedItems>
    </cacheField>
    <cacheField name="City" numFmtId="0">
      <sharedItems/>
    </cacheField>
    <cacheField name="State" numFmtId="0">
      <sharedItems count="23">
        <s v="Tamil Nadu"/>
        <s v="Karnataka"/>
        <s v="Maharashtra"/>
        <s v="Delhi"/>
        <s v="Uttar Pradesh"/>
        <s v="West Bengal"/>
        <s v="Uttarakhand"/>
        <s v="Assam"/>
        <s v="Telangana"/>
        <s v="Jharkhand"/>
        <s v="Rajasthan"/>
        <s v="Madhya Pradesh"/>
        <s v="Punjab"/>
        <s v="Gujarat"/>
        <s v="Odisha"/>
        <s v="Chandigarh"/>
        <s v="Kerala"/>
        <s v="Andhra Pradesh"/>
        <s v="Bihar"/>
        <s v="Jammu and Kashmir"/>
        <s v="Himachal Pradesh"/>
        <s v="Pondicherry"/>
        <s v="Meghalaya"/>
      </sharedItems>
    </cacheField>
    <cacheField name="Score" numFmtId="0">
      <sharedItems containsSemiMixedTypes="0" containsString="0" containsNumber="1" minValue="41.1" maxValue="86.76" count="96">
        <n v="86.76"/>
        <n v="82.67"/>
        <n v="82.52"/>
        <n v="81.75"/>
        <n v="76.5"/>
        <n v="75.62"/>
        <n v="71.400000000000006"/>
        <n v="69.260000000000005"/>
        <n v="66.61"/>
        <n v="63.1"/>
        <n v="61.45"/>
        <n v="59.87"/>
        <n v="59.54"/>
        <n v="58.93"/>
        <n v="58.91"/>
        <n v="58.53"/>
        <n v="57.67"/>
        <n v="57.38"/>
        <n v="56.03"/>
        <n v="55.83"/>
        <n v="55.39"/>
        <n v="55.38"/>
        <n v="54.97"/>
        <n v="54.47"/>
        <n v="54.42"/>
        <n v="53.88"/>
        <n v="53.76"/>
        <n v="53.74"/>
        <n v="53.32"/>
        <n v="53.22"/>
        <n v="52.89"/>
        <n v="52.88"/>
        <n v="52.77"/>
        <n v="50.49"/>
        <n v="50.48"/>
        <n v="50.42"/>
        <n v="50.34"/>
        <n v="50.31"/>
        <n v="50"/>
        <n v="49.58"/>
        <n v="49.27"/>
        <n v="49.15"/>
        <n v="48.87"/>
        <n v="48.83"/>
        <n v="48.7"/>
        <n v="48.66"/>
        <n v="48.65"/>
        <n v="48.63"/>
        <n v="48.57"/>
        <n v="47.67"/>
        <n v="47.62"/>
        <n v="47.3"/>
        <n v="46.98"/>
        <n v="46.95"/>
        <n v="46.79"/>
        <n v="46.78"/>
        <n v="46.69"/>
        <n v="46.65"/>
        <n v="46.6"/>
        <n v="46.57"/>
        <n v="46.46"/>
        <n v="46.02"/>
        <n v="45.89"/>
        <n v="45.87"/>
        <n v="45.65"/>
        <n v="45.64"/>
        <n v="45.63"/>
        <n v="45.36"/>
        <n v="45.29"/>
        <n v="45.22"/>
        <n v="45.07"/>
        <n v="44.81"/>
        <n v="44.64"/>
        <n v="44.62"/>
        <n v="44.53"/>
        <n v="44.4"/>
        <n v="44.19"/>
        <n v="43.95"/>
        <n v="43.93"/>
        <n v="43.75"/>
        <n v="43.6"/>
        <n v="43.21"/>
        <n v="43.14"/>
        <n v="43.1"/>
        <n v="43.04"/>
        <n v="42.94"/>
        <n v="42.79"/>
        <n v="42.78"/>
        <n v="42.68"/>
        <n v="42.56"/>
        <n v="42.42"/>
        <n v="41.79"/>
        <n v="41.74"/>
        <n v="41.72"/>
        <n v="41.43"/>
        <n v="41.1"/>
      </sharedItems>
    </cacheField>
    <cacheField name="Rank" numFmtId="0">
      <sharedItems containsSemiMixedTypes="0" containsString="0" containsNumber="1" containsInteger="1" minValue="1" maxValue="100" count="96">
        <n v="1"/>
        <n v="2"/>
        <n v="3"/>
        <n v="4"/>
        <n v="5"/>
        <n v="6"/>
        <n v="7"/>
        <n v="8"/>
        <n v="9"/>
        <n v="10"/>
        <n v="11"/>
        <n v="12"/>
        <n v="13"/>
        <n v="14"/>
        <n v="15"/>
        <n v="16"/>
        <n v="17"/>
        <n v="18"/>
        <n v="19"/>
        <n v="20"/>
        <n v="21"/>
        <n v="22"/>
        <n v="23"/>
        <n v="24"/>
        <n v="25"/>
        <n v="26"/>
        <n v="27"/>
        <n v="28"/>
        <n v="29"/>
        <n v="30"/>
        <n v="31"/>
        <n v="32"/>
        <n v="33"/>
        <n v="34"/>
        <n v="35"/>
        <n v="36"/>
        <n v="37"/>
        <n v="38"/>
        <n v="39"/>
        <n v="40"/>
        <n v="41"/>
        <n v="42"/>
        <n v="43"/>
        <n v="45"/>
        <n v="46"/>
        <n v="47"/>
        <n v="48"/>
        <n v="49"/>
        <n v="50"/>
        <n v="51"/>
        <n v="52"/>
        <n v="53"/>
        <n v="54"/>
        <n v="56"/>
        <n v="57"/>
        <n v="58"/>
        <n v="59"/>
        <n v="60"/>
        <n v="61"/>
        <n v="62"/>
        <n v="64"/>
        <n v="65"/>
        <n v="66"/>
        <n v="67"/>
        <n v="68"/>
        <n v="69"/>
        <n v="70"/>
        <n v="71"/>
        <n v="72"/>
        <n v="73"/>
        <n v="74"/>
        <n v="75"/>
        <n v="76"/>
        <n v="77"/>
        <n v="78"/>
        <n v="79"/>
        <n v="80"/>
        <n v="81"/>
        <n v="82"/>
        <n v="83"/>
        <n v="84"/>
        <n v="85"/>
        <n v="86"/>
        <n v="87"/>
        <n v="88"/>
        <n v="89"/>
        <n v="90"/>
        <n v="92"/>
        <n v="93"/>
        <n v="94"/>
        <n v="95"/>
        <n v="96"/>
        <n v="97"/>
        <n v="98"/>
        <n v="99"/>
        <n v="100"/>
      </sharedItems>
    </cacheField>
  </cacheFields>
  <extLst>
    <ext xmlns:x14="http://schemas.microsoft.com/office/spreadsheetml/2009/9/main" uri="{725AE2AE-9491-48be-B2B4-4EB974FC3084}">
      <x14:pivotCacheDefinition pivotCacheId="587742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IR-O-U-0456"/>
    <x v="0"/>
    <x v="0"/>
    <x v="0"/>
    <x v="0"/>
    <x v="0"/>
    <x v="0"/>
    <s v="Chennai"/>
    <x v="0"/>
    <x v="0"/>
    <x v="0"/>
  </r>
  <r>
    <s v="IR-O-U-0220"/>
    <x v="1"/>
    <x v="1"/>
    <x v="1"/>
    <x v="1"/>
    <x v="1"/>
    <x v="1"/>
    <s v="Bengaluru"/>
    <x v="1"/>
    <x v="1"/>
    <x v="1"/>
  </r>
  <r>
    <s v="IR-O-U-0306"/>
    <x v="2"/>
    <x v="2"/>
    <x v="2"/>
    <x v="2"/>
    <x v="2"/>
    <x v="2"/>
    <s v="Mumbai"/>
    <x v="2"/>
    <x v="2"/>
    <x v="2"/>
  </r>
  <r>
    <s v="IR-O-I-1074"/>
    <x v="3"/>
    <x v="3"/>
    <x v="3"/>
    <x v="3"/>
    <x v="3"/>
    <x v="3"/>
    <s v="New Delhi"/>
    <x v="3"/>
    <x v="3"/>
    <x v="3"/>
  </r>
  <r>
    <s v="IR-O-I-1075"/>
    <x v="4"/>
    <x v="4"/>
    <x v="4"/>
    <x v="4"/>
    <x v="4"/>
    <x v="4"/>
    <s v="Kanpur"/>
    <x v="4"/>
    <x v="4"/>
    <x v="4"/>
  </r>
  <r>
    <s v="IR-O-U-0573"/>
    <x v="5"/>
    <x v="5"/>
    <x v="5"/>
    <x v="5"/>
    <x v="5"/>
    <x v="5"/>
    <s v="Kharagpur"/>
    <x v="5"/>
    <x v="5"/>
    <x v="5"/>
  </r>
  <r>
    <s v="IR-O-U-0560"/>
    <x v="6"/>
    <x v="6"/>
    <x v="6"/>
    <x v="6"/>
    <x v="6"/>
    <x v="6"/>
    <s v="Roorkee"/>
    <x v="6"/>
    <x v="6"/>
    <x v="6"/>
  </r>
  <r>
    <s v="IR-O-U-0053"/>
    <x v="7"/>
    <x v="7"/>
    <x v="7"/>
    <x v="7"/>
    <x v="7"/>
    <x v="7"/>
    <s v="Guwahati"/>
    <x v="7"/>
    <x v="7"/>
    <x v="7"/>
  </r>
  <r>
    <s v="IR-O-U-0109"/>
    <x v="8"/>
    <x v="8"/>
    <x v="8"/>
    <x v="8"/>
    <x v="8"/>
    <x v="8"/>
    <s v="New Delhi"/>
    <x v="3"/>
    <x v="8"/>
    <x v="8"/>
  </r>
  <r>
    <s v="IR-O-U-0500"/>
    <x v="9"/>
    <x v="9"/>
    <x v="9"/>
    <x v="9"/>
    <x v="9"/>
    <x v="9"/>
    <s v="Varanasi"/>
    <x v="4"/>
    <x v="9"/>
    <x v="9"/>
  </r>
  <r>
    <s v="IR-O-U-0570"/>
    <x v="10"/>
    <x v="10"/>
    <x v="10"/>
    <x v="10"/>
    <x v="10"/>
    <x v="10"/>
    <s v="Kolkata"/>
    <x v="5"/>
    <x v="10"/>
    <x v="10"/>
  </r>
  <r>
    <s v="IR-O-U-0436"/>
    <x v="11"/>
    <x v="11"/>
    <x v="11"/>
    <x v="11"/>
    <x v="11"/>
    <x v="11"/>
    <s v="Coimbatore"/>
    <x v="0"/>
    <x v="11"/>
    <x v="11"/>
  </r>
  <r>
    <s v="IR-O-U-0108"/>
    <x v="12"/>
    <x v="12"/>
    <x v="12"/>
    <x v="12"/>
    <x v="12"/>
    <x v="12"/>
    <s v="New Delhi"/>
    <x v="3"/>
    <x v="12"/>
    <x v="12"/>
  </r>
  <r>
    <s v="IR-O-U-0575"/>
    <x v="13"/>
    <x v="13"/>
    <x v="13"/>
    <x v="13"/>
    <x v="13"/>
    <x v="13"/>
    <s v="Kolkata"/>
    <x v="5"/>
    <x v="13"/>
    <x v="13"/>
  </r>
  <r>
    <s v="IR-O-U-0234"/>
    <x v="14"/>
    <x v="14"/>
    <x v="14"/>
    <x v="14"/>
    <x v="14"/>
    <x v="14"/>
    <s v="Manipal"/>
    <x v="1"/>
    <x v="14"/>
    <x v="14"/>
  </r>
  <r>
    <s v="IR-O-U-0013"/>
    <x v="15"/>
    <x v="15"/>
    <x v="15"/>
    <x v="15"/>
    <x v="15"/>
    <x v="15"/>
    <s v="Hyderabad"/>
    <x v="8"/>
    <x v="15"/>
    <x v="15"/>
  </r>
  <r>
    <s v="IR-O-U-0042"/>
    <x v="16"/>
    <x v="16"/>
    <x v="16"/>
    <x v="16"/>
    <x v="16"/>
    <x v="16"/>
    <s v="Hyderabad"/>
    <x v="8"/>
    <x v="16"/>
    <x v="16"/>
  </r>
  <r>
    <s v="IR-O-U-0496"/>
    <x v="17"/>
    <x v="17"/>
    <x v="17"/>
    <x v="17"/>
    <x v="17"/>
    <x v="17"/>
    <s v="Aligarh"/>
    <x v="4"/>
    <x v="17"/>
    <x v="17"/>
  </r>
  <r>
    <s v="IR-O-U-0120"/>
    <x v="18"/>
    <x v="18"/>
    <x v="18"/>
    <x v="18"/>
    <x v="18"/>
    <x v="18"/>
    <s v="Delhi"/>
    <x v="3"/>
    <x v="18"/>
    <x v="18"/>
  </r>
  <r>
    <s v="IR-O-U-0323"/>
    <x v="19"/>
    <x v="19"/>
    <x v="19"/>
    <x v="19"/>
    <x v="19"/>
    <x v="19"/>
    <s v="Pune"/>
    <x v="2"/>
    <x v="19"/>
    <x v="19"/>
  </r>
  <r>
    <s v="IR-O-U-0490"/>
    <x v="20"/>
    <x v="20"/>
    <x v="20"/>
    <x v="20"/>
    <x v="20"/>
    <x v="20"/>
    <s v="Vellore"/>
    <x v="0"/>
    <x v="20"/>
    <x v="20"/>
  </r>
  <r>
    <s v="IR-O-U-0447"/>
    <x v="21"/>
    <x v="21"/>
    <x v="21"/>
    <x v="21"/>
    <x v="21"/>
    <x v="21"/>
    <s v="Coimbatore"/>
    <x v="0"/>
    <x v="21"/>
    <x v="21"/>
  </r>
  <r>
    <s v="IR-O-U-0467"/>
    <x v="22"/>
    <x v="22"/>
    <x v="22"/>
    <x v="22"/>
    <x v="22"/>
    <x v="22"/>
    <s v="Tiruchirappalli"/>
    <x v="0"/>
    <x v="22"/>
    <x v="22"/>
  </r>
  <r>
    <s v="IR-O-U-0305"/>
    <x v="23"/>
    <x v="23"/>
    <x v="23"/>
    <x v="23"/>
    <x v="23"/>
    <x v="23"/>
    <s v="Pune"/>
    <x v="2"/>
    <x v="23"/>
    <x v="23"/>
  </r>
  <r>
    <s v="IR-O-U-0439"/>
    <x v="24"/>
    <x v="24"/>
    <x v="24"/>
    <x v="24"/>
    <x v="24"/>
    <x v="24"/>
    <s v="Chennai"/>
    <x v="0"/>
    <x v="24"/>
    <x v="24"/>
  </r>
  <r>
    <s v="IR-O-U-0205"/>
    <x v="25"/>
    <x v="25"/>
    <x v="25"/>
    <x v="25"/>
    <x v="25"/>
    <x v="17"/>
    <s v="Dhanbad"/>
    <x v="9"/>
    <x v="25"/>
    <x v="25"/>
  </r>
  <r>
    <s v="IR-O-U-0308"/>
    <x v="26"/>
    <x v="26"/>
    <x v="26"/>
    <x v="26"/>
    <x v="26"/>
    <x v="25"/>
    <s v="Mumbai"/>
    <x v="2"/>
    <x v="26"/>
    <x v="26"/>
  </r>
  <r>
    <s v="IR-O-U-0701"/>
    <x v="27"/>
    <x v="27"/>
    <x v="27"/>
    <x v="27"/>
    <x v="27"/>
    <x v="26"/>
    <s v="Varanasi"/>
    <x v="4"/>
    <x v="27"/>
    <x v="27"/>
  </r>
  <r>
    <s v="IR-O-U-0391"/>
    <x v="28"/>
    <x v="28"/>
    <x v="28"/>
    <x v="28"/>
    <x v="28"/>
    <x v="27"/>
    <s v="Pilani"/>
    <x v="10"/>
    <x v="28"/>
    <x v="28"/>
  </r>
  <r>
    <s v="IR-O-U-0273"/>
    <x v="29"/>
    <x v="29"/>
    <x v="29"/>
    <x v="29"/>
    <x v="29"/>
    <x v="28"/>
    <s v="Indore"/>
    <x v="11"/>
    <x v="29"/>
    <x v="29"/>
  </r>
  <r>
    <s v="IR-O-U-0378"/>
    <x v="30"/>
    <x v="30"/>
    <x v="30"/>
    <x v="30"/>
    <x v="30"/>
    <x v="29"/>
    <s v="Rupnagar"/>
    <x v="12"/>
    <x v="30"/>
    <x v="30"/>
  </r>
  <r>
    <s v="IR-O-U-0237"/>
    <x v="31"/>
    <x v="31"/>
    <x v="31"/>
    <x v="31"/>
    <x v="31"/>
    <x v="30"/>
    <s v="Surathkal"/>
    <x v="1"/>
    <x v="31"/>
    <x v="31"/>
  </r>
  <r>
    <s v="IR-O-U-0139"/>
    <x v="32"/>
    <x v="32"/>
    <x v="32"/>
    <x v="32"/>
    <x v="32"/>
    <x v="29"/>
    <s v="Gandhinagar"/>
    <x v="13"/>
    <x v="32"/>
    <x v="32"/>
  </r>
  <r>
    <s v="IR-O-U-0235"/>
    <x v="33"/>
    <x v="33"/>
    <x v="33"/>
    <x v="33"/>
    <x v="33"/>
    <x v="31"/>
    <s v="Mysuru"/>
    <x v="1"/>
    <x v="33"/>
    <x v="33"/>
  </r>
  <r>
    <s v="IR-O-U-0572"/>
    <x v="34"/>
    <x v="34"/>
    <x v="34"/>
    <x v="34"/>
    <x v="34"/>
    <x v="32"/>
    <s v="Mohanpur"/>
    <x v="5"/>
    <x v="34"/>
    <x v="34"/>
  </r>
  <r>
    <s v="IR-O-U-0304"/>
    <x v="35"/>
    <x v="35"/>
    <x v="35"/>
    <x v="35"/>
    <x v="35"/>
    <x v="33"/>
    <s v="Mumbai"/>
    <x v="2"/>
    <x v="35"/>
    <x v="35"/>
  </r>
  <r>
    <s v="IR-O-U-0363"/>
    <x v="36"/>
    <x v="36"/>
    <x v="36"/>
    <x v="36"/>
    <x v="36"/>
    <x v="34"/>
    <s v="Bhubaneswar"/>
    <x v="14"/>
    <x v="36"/>
    <x v="36"/>
  </r>
  <r>
    <s v="IR-O-U-0078"/>
    <x v="37"/>
    <x v="37"/>
    <x v="17"/>
    <x v="37"/>
    <x v="37"/>
    <x v="35"/>
    <s v="Chandigarh"/>
    <x v="15"/>
    <x v="37"/>
    <x v="37"/>
  </r>
  <r>
    <s v="IR-O-U-0356"/>
    <x v="38"/>
    <x v="38"/>
    <x v="37"/>
    <x v="38"/>
    <x v="38"/>
    <x v="36"/>
    <s v="Bhubaneswar"/>
    <x v="14"/>
    <x v="38"/>
    <x v="38"/>
  </r>
  <r>
    <s v="IR-O-U-0377"/>
    <x v="39"/>
    <x v="39"/>
    <x v="38"/>
    <x v="39"/>
    <x v="39"/>
    <x v="25"/>
    <s v="Mohali"/>
    <x v="12"/>
    <x v="39"/>
    <x v="39"/>
  </r>
  <r>
    <s v="IR-O-U-0357"/>
    <x v="40"/>
    <x v="40"/>
    <x v="39"/>
    <x v="40"/>
    <x v="40"/>
    <x v="37"/>
    <s v="Rourkela"/>
    <x v="14"/>
    <x v="40"/>
    <x v="40"/>
  </r>
  <r>
    <s v="IR-O-U-0476"/>
    <x v="41"/>
    <x v="41"/>
    <x v="40"/>
    <x v="41"/>
    <x v="41"/>
    <x v="38"/>
    <s v="Thanjavur"/>
    <x v="0"/>
    <x v="41"/>
    <x v="41"/>
  </r>
  <r>
    <s v="IR-O-U-0260"/>
    <x v="42"/>
    <x v="42"/>
    <x v="41"/>
    <x v="42"/>
    <x v="42"/>
    <x v="39"/>
    <s v="Thiruvananthapuram"/>
    <x v="16"/>
    <x v="42"/>
    <x v="42"/>
  </r>
  <r>
    <s v="IR-O-U-0497"/>
    <x v="43"/>
    <x v="43"/>
    <x v="42"/>
    <x v="43"/>
    <x v="43"/>
    <x v="40"/>
    <s v="Gautam Budh Nagar"/>
    <x v="4"/>
    <x v="42"/>
    <x v="42"/>
  </r>
  <r>
    <s v="IR-O-I-1480"/>
    <x v="44"/>
    <x v="44"/>
    <x v="43"/>
    <x v="44"/>
    <x v="44"/>
    <x v="41"/>
    <s v="Patiala"/>
    <x v="12"/>
    <x v="43"/>
    <x v="43"/>
  </r>
  <r>
    <s v="IR-O-U-0584"/>
    <x v="45"/>
    <x v="45"/>
    <x v="44"/>
    <x v="45"/>
    <x v="45"/>
    <x v="42"/>
    <s v="Shibpur"/>
    <x v="5"/>
    <x v="44"/>
    <x v="44"/>
  </r>
  <r>
    <s v="IR-O-I-1357"/>
    <x v="46"/>
    <x v="46"/>
    <x v="45"/>
    <x v="46"/>
    <x v="46"/>
    <x v="12"/>
    <s v="Chennai"/>
    <x v="0"/>
    <x v="45"/>
    <x v="45"/>
  </r>
  <r>
    <s v="IR-O-U-0006"/>
    <x v="47"/>
    <x v="47"/>
    <x v="46"/>
    <x v="47"/>
    <x v="47"/>
    <x v="43"/>
    <s v="Visakhapatnam"/>
    <x v="17"/>
    <x v="46"/>
    <x v="46"/>
  </r>
  <r>
    <s v="IR-O-I-1441"/>
    <x v="48"/>
    <x v="48"/>
    <x v="47"/>
    <x v="48"/>
    <x v="48"/>
    <x v="44"/>
    <s v="Chennai"/>
    <x v="0"/>
    <x v="47"/>
    <x v="47"/>
  </r>
  <r>
    <s v="IR-O-U-0272"/>
    <x v="49"/>
    <x v="49"/>
    <x v="48"/>
    <x v="49"/>
    <x v="49"/>
    <x v="45"/>
    <s v="Bhopal"/>
    <x v="11"/>
    <x v="48"/>
    <x v="48"/>
  </r>
  <r>
    <s v="IR-O-U-0064"/>
    <x v="50"/>
    <x v="50"/>
    <x v="49"/>
    <x v="50"/>
    <x v="50"/>
    <x v="19"/>
    <s v="Patna"/>
    <x v="18"/>
    <x v="49"/>
    <x v="49"/>
  </r>
  <r>
    <s v="IR-O-U-0262"/>
    <x v="51"/>
    <x v="51"/>
    <x v="50"/>
    <x v="51"/>
    <x v="51"/>
    <x v="46"/>
    <s v="Kottayam"/>
    <x v="16"/>
    <x v="50"/>
    <x v="50"/>
  </r>
  <r>
    <s v="IR-O-U-0473"/>
    <x v="52"/>
    <x v="52"/>
    <x v="51"/>
    <x v="52"/>
    <x v="52"/>
    <x v="38"/>
    <s v="Chennai"/>
    <x v="0"/>
    <x v="51"/>
    <x v="51"/>
  </r>
  <r>
    <s v="IR-O-U-0098"/>
    <x v="53"/>
    <x v="53"/>
    <x v="52"/>
    <x v="53"/>
    <x v="53"/>
    <x v="47"/>
    <s v="New Delhi"/>
    <x v="3"/>
    <x v="52"/>
    <x v="52"/>
  </r>
  <r>
    <s v="IR-O-U-0334"/>
    <x v="54"/>
    <x v="54"/>
    <x v="53"/>
    <x v="54"/>
    <x v="54"/>
    <x v="48"/>
    <s v="Nagpur"/>
    <x v="2"/>
    <x v="52"/>
    <x v="52"/>
  </r>
  <r>
    <s v="IR-O-U-0222"/>
    <x v="55"/>
    <x v="55"/>
    <x v="54"/>
    <x v="55"/>
    <x v="55"/>
    <x v="49"/>
    <s v="Mysuru"/>
    <x v="1"/>
    <x v="53"/>
    <x v="53"/>
  </r>
  <r>
    <s v="IR-O-U-0435"/>
    <x v="56"/>
    <x v="56"/>
    <x v="55"/>
    <x v="56"/>
    <x v="56"/>
    <x v="32"/>
    <s v="Karaikudi"/>
    <x v="0"/>
    <x v="54"/>
    <x v="54"/>
  </r>
  <r>
    <s v="IR-O-U-0355"/>
    <x v="57"/>
    <x v="57"/>
    <x v="56"/>
    <x v="57"/>
    <x v="57"/>
    <x v="49"/>
    <s v="Bhubaneswar"/>
    <x v="14"/>
    <x v="55"/>
    <x v="55"/>
  </r>
  <r>
    <s v="IR-O-U-0025"/>
    <x v="58"/>
    <x v="58"/>
    <x v="57"/>
    <x v="58"/>
    <x v="58"/>
    <x v="50"/>
    <s v="Warangal"/>
    <x v="8"/>
    <x v="56"/>
    <x v="56"/>
  </r>
  <r>
    <s v="IR-O-U-0523"/>
    <x v="59"/>
    <x v="59"/>
    <x v="58"/>
    <x v="59"/>
    <x v="59"/>
    <x v="45"/>
    <s v="Lucknow"/>
    <x v="4"/>
    <x v="57"/>
    <x v="57"/>
  </r>
  <r>
    <s v="IR-O-U-0474"/>
    <x v="60"/>
    <x v="60"/>
    <x v="59"/>
    <x v="60"/>
    <x v="60"/>
    <x v="51"/>
    <s v="Chennai"/>
    <x v="0"/>
    <x v="58"/>
    <x v="58"/>
  </r>
  <r>
    <s v="IR-O-U-0136"/>
    <x v="61"/>
    <x v="61"/>
    <x v="60"/>
    <x v="61"/>
    <x v="61"/>
    <x v="52"/>
    <s v="Ahmedabad"/>
    <x v="13"/>
    <x v="59"/>
    <x v="59"/>
  </r>
  <r>
    <s v="IR-O-U-0027"/>
    <x v="62"/>
    <x v="62"/>
    <x v="61"/>
    <x v="62"/>
    <x v="62"/>
    <x v="53"/>
    <s v="Hyderabad"/>
    <x v="8"/>
    <x v="59"/>
    <x v="59"/>
  </r>
  <r>
    <s v="IR-O-U-0107"/>
    <x v="63"/>
    <x v="63"/>
    <x v="62"/>
    <x v="63"/>
    <x v="63"/>
    <x v="45"/>
    <s v="New Delhi"/>
    <x v="3"/>
    <x v="60"/>
    <x v="60"/>
  </r>
  <r>
    <s v="IR-O-U-0253"/>
    <x v="64"/>
    <x v="64"/>
    <x v="63"/>
    <x v="64"/>
    <x v="64"/>
    <x v="54"/>
    <s v="Cochin"/>
    <x v="16"/>
    <x v="61"/>
    <x v="61"/>
  </r>
  <r>
    <s v="IR-O-U-0389"/>
    <x v="65"/>
    <x v="65"/>
    <x v="64"/>
    <x v="65"/>
    <x v="65"/>
    <x v="38"/>
    <s v="Banasthali"/>
    <x v="10"/>
    <x v="62"/>
    <x v="62"/>
  </r>
  <r>
    <s v="IR-O-U-0052"/>
    <x v="66"/>
    <x v="66"/>
    <x v="65"/>
    <x v="66"/>
    <x v="66"/>
    <x v="38"/>
    <s v="Guwahati"/>
    <x v="7"/>
    <x v="63"/>
    <x v="63"/>
  </r>
  <r>
    <s v="IR-O-U-0329"/>
    <x v="67"/>
    <x v="67"/>
    <x v="66"/>
    <x v="67"/>
    <x v="67"/>
    <x v="55"/>
    <s v="Pune"/>
    <x v="2"/>
    <x v="64"/>
    <x v="64"/>
  </r>
  <r>
    <s v="IR-O-U-0020"/>
    <x v="68"/>
    <x v="68"/>
    <x v="67"/>
    <x v="68"/>
    <x v="68"/>
    <x v="44"/>
    <s v="Vaddeswaram"/>
    <x v="17"/>
    <x v="65"/>
    <x v="65"/>
  </r>
  <r>
    <s v="IR-O-U-0331"/>
    <x v="69"/>
    <x v="69"/>
    <x v="68"/>
    <x v="69"/>
    <x v="69"/>
    <x v="56"/>
    <s v="Mumbai"/>
    <x v="2"/>
    <x v="66"/>
    <x v="66"/>
  </r>
  <r>
    <s v="IR-O-U-0577"/>
    <x v="70"/>
    <x v="70"/>
    <x v="69"/>
    <x v="70"/>
    <x v="70"/>
    <x v="57"/>
    <s v="Durgapur"/>
    <x v="5"/>
    <x v="67"/>
    <x v="67"/>
  </r>
  <r>
    <s v="IR-O-U-0410"/>
    <x v="71"/>
    <x v="71"/>
    <x v="70"/>
    <x v="71"/>
    <x v="71"/>
    <x v="52"/>
    <s v="Jaipur"/>
    <x v="10"/>
    <x v="68"/>
    <x v="68"/>
  </r>
  <r>
    <s v="IR-O-U-0056"/>
    <x v="72"/>
    <x v="72"/>
    <x v="71"/>
    <x v="72"/>
    <x v="72"/>
    <x v="58"/>
    <s v="Tezpur"/>
    <x v="7"/>
    <x v="69"/>
    <x v="69"/>
  </r>
  <r>
    <s v="IR-O-U-0458"/>
    <x v="73"/>
    <x v="73"/>
    <x v="72"/>
    <x v="73"/>
    <x v="73"/>
    <x v="58"/>
    <s v="Srivilliputtur"/>
    <x v="0"/>
    <x v="70"/>
    <x v="70"/>
  </r>
  <r>
    <s v="IR-O-U-0446"/>
    <x v="74"/>
    <x v="74"/>
    <x v="73"/>
    <x v="74"/>
    <x v="74"/>
    <x v="52"/>
    <s v="Chennai"/>
    <x v="0"/>
    <x v="71"/>
    <x v="71"/>
  </r>
  <r>
    <s v="IR-O-U-0196"/>
    <x v="75"/>
    <x v="75"/>
    <x v="74"/>
    <x v="75"/>
    <x v="75"/>
    <x v="44"/>
    <s v="Srinagar"/>
    <x v="19"/>
    <x v="72"/>
    <x v="72"/>
  </r>
  <r>
    <s v="IR-O-U-0747"/>
    <x v="76"/>
    <x v="76"/>
    <x v="75"/>
    <x v="76"/>
    <x v="76"/>
    <x v="23"/>
    <s v="Mohali"/>
    <x v="12"/>
    <x v="73"/>
    <x v="73"/>
  </r>
  <r>
    <s v="IR-O-U-0374"/>
    <x v="77"/>
    <x v="77"/>
    <x v="76"/>
    <x v="77"/>
    <x v="77"/>
    <x v="55"/>
    <s v="Jalandhar"/>
    <x v="12"/>
    <x v="74"/>
    <x v="74"/>
  </r>
  <r>
    <s v="IR-O-I-1486"/>
    <x v="78"/>
    <x v="78"/>
    <x v="77"/>
    <x v="78"/>
    <x v="78"/>
    <x v="51"/>
    <s v="Chennai"/>
    <x v="0"/>
    <x v="75"/>
    <x v="75"/>
  </r>
  <r>
    <s v="IR-O-I-1110"/>
    <x v="79"/>
    <x v="79"/>
    <x v="78"/>
    <x v="79"/>
    <x v="79"/>
    <x v="54"/>
    <s v="Pune"/>
    <x v="2"/>
    <x v="76"/>
    <x v="76"/>
  </r>
  <r>
    <s v="IR-O-U-0379"/>
    <x v="80"/>
    <x v="80"/>
    <x v="79"/>
    <x v="80"/>
    <x v="80"/>
    <x v="59"/>
    <s v="Phagwara"/>
    <x v="12"/>
    <x v="77"/>
    <x v="77"/>
  </r>
  <r>
    <s v="IR-O-U-0184"/>
    <x v="81"/>
    <x v="26"/>
    <x v="80"/>
    <x v="81"/>
    <x v="81"/>
    <x v="60"/>
    <s v="Mandi"/>
    <x v="20"/>
    <x v="78"/>
    <x v="78"/>
  </r>
  <r>
    <s v="IR-O-U-0463"/>
    <x v="82"/>
    <x v="81"/>
    <x v="81"/>
    <x v="82"/>
    <x v="82"/>
    <x v="55"/>
    <s v="Madurai"/>
    <x v="0"/>
    <x v="79"/>
    <x v="79"/>
  </r>
  <r>
    <s v="IR-O-U-0642"/>
    <x v="83"/>
    <x v="82"/>
    <x v="82"/>
    <x v="83"/>
    <x v="83"/>
    <x v="34"/>
    <s v="Dadri"/>
    <x v="4"/>
    <x v="80"/>
    <x v="80"/>
  </r>
  <r>
    <s v="IR-O-U-0376"/>
    <x v="84"/>
    <x v="83"/>
    <x v="83"/>
    <x v="84"/>
    <x v="84"/>
    <x v="37"/>
    <s v="Amritsar"/>
    <x v="12"/>
    <x v="81"/>
    <x v="81"/>
  </r>
  <r>
    <s v="IR-O-C-37013"/>
    <x v="85"/>
    <x v="84"/>
    <x v="84"/>
    <x v="85"/>
    <x v="85"/>
    <x v="61"/>
    <s v="Coimbatore"/>
    <x v="0"/>
    <x v="82"/>
    <x v="82"/>
  </r>
  <r>
    <s v="IR-O-U-0369"/>
    <x v="86"/>
    <x v="85"/>
    <x v="85"/>
    <x v="86"/>
    <x v="86"/>
    <x v="37"/>
    <s v="Puducherry"/>
    <x v="21"/>
    <x v="83"/>
    <x v="83"/>
  </r>
  <r>
    <s v="IR-O-U-0530"/>
    <x v="87"/>
    <x v="86"/>
    <x v="86"/>
    <x v="87"/>
    <x v="87"/>
    <x v="36"/>
    <s v="Prayagraj"/>
    <x v="4"/>
    <x v="84"/>
    <x v="84"/>
  </r>
  <r>
    <s v="IR-O-C-16604"/>
    <x v="88"/>
    <x v="87"/>
    <x v="87"/>
    <x v="88"/>
    <x v="88"/>
    <x v="57"/>
    <s v="Kancheepuram"/>
    <x v="0"/>
    <x v="85"/>
    <x v="85"/>
  </r>
  <r>
    <s v="IR-O-U-0448"/>
    <x v="89"/>
    <x v="88"/>
    <x v="36"/>
    <x v="89"/>
    <x v="89"/>
    <x v="49"/>
    <s v="Tiruchirappalli"/>
    <x v="0"/>
    <x v="86"/>
    <x v="86"/>
  </r>
  <r>
    <s v="IR-O-U-0341"/>
    <x v="90"/>
    <x v="89"/>
    <x v="88"/>
    <x v="90"/>
    <x v="90"/>
    <x v="58"/>
    <s v="Shillong"/>
    <x v="22"/>
    <x v="86"/>
    <x v="86"/>
  </r>
  <r>
    <s v="IR-O-U-0037"/>
    <x v="91"/>
    <x v="90"/>
    <x v="89"/>
    <x v="91"/>
    <x v="91"/>
    <x v="52"/>
    <s v="Tirupati"/>
    <x v="17"/>
    <x v="87"/>
    <x v="87"/>
  </r>
  <r>
    <s v="IR-O-U-0055"/>
    <x v="92"/>
    <x v="91"/>
    <x v="90"/>
    <x v="92"/>
    <x v="92"/>
    <x v="31"/>
    <s v="Silchar"/>
    <x v="7"/>
    <x v="88"/>
    <x v="88"/>
  </r>
  <r>
    <s v="IR-O-N-10"/>
    <x v="93"/>
    <x v="92"/>
    <x v="91"/>
    <x v="93"/>
    <x v="93"/>
    <x v="46"/>
    <s v="Mumbai"/>
    <x v="2"/>
    <x v="89"/>
    <x v="89"/>
  </r>
  <r>
    <s v="IR-O-U-0251"/>
    <x v="94"/>
    <x v="93"/>
    <x v="92"/>
    <x v="94"/>
    <x v="87"/>
    <x v="62"/>
    <s v="Malappuram"/>
    <x v="16"/>
    <x v="90"/>
    <x v="90"/>
  </r>
  <r>
    <s v="IR-O-U-0318"/>
    <x v="95"/>
    <x v="94"/>
    <x v="93"/>
    <x v="95"/>
    <x v="94"/>
    <x v="51"/>
    <s v="Mumbai"/>
    <x v="2"/>
    <x v="91"/>
    <x v="91"/>
  </r>
  <r>
    <s v="IR-O-U-0589"/>
    <x v="96"/>
    <x v="95"/>
    <x v="94"/>
    <x v="96"/>
    <x v="95"/>
    <x v="33"/>
    <s v="Santiniketan"/>
    <x v="5"/>
    <x v="92"/>
    <x v="92"/>
  </r>
  <r>
    <s v="IR-O-U-0149"/>
    <x v="97"/>
    <x v="96"/>
    <x v="95"/>
    <x v="97"/>
    <x v="96"/>
    <x v="51"/>
    <s v="Surat"/>
    <x v="13"/>
    <x v="93"/>
    <x v="93"/>
  </r>
  <r>
    <s v="IR-O-U-0099"/>
    <x v="98"/>
    <x v="97"/>
    <x v="96"/>
    <x v="98"/>
    <x v="97"/>
    <x v="63"/>
    <s v="New Delhi"/>
    <x v="3"/>
    <x v="94"/>
    <x v="94"/>
  </r>
  <r>
    <s v="IR-O-U-0295"/>
    <x v="99"/>
    <x v="98"/>
    <x v="97"/>
    <x v="99"/>
    <x v="98"/>
    <x v="64"/>
    <s v="Wardha"/>
    <x v="2"/>
    <x v="95"/>
    <x v="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8519F8-6271-4E06-9AB5-1196F88E690A}"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1">
    <pivotField showAll="0"/>
    <pivotField axis="axisRow" showAll="0" measureFilter="1" sortType="ascending">
      <items count="101">
        <item x="56"/>
        <item x="17"/>
        <item x="43"/>
        <item x="11"/>
        <item x="47"/>
        <item x="24"/>
        <item x="9"/>
        <item x="65"/>
        <item x="74"/>
        <item x="21"/>
        <item x="89"/>
        <item x="28"/>
        <item x="10"/>
        <item x="94"/>
        <item x="76"/>
        <item x="64"/>
        <item x="99"/>
        <item x="53"/>
        <item x="77"/>
        <item x="79"/>
        <item x="66"/>
        <item x="61"/>
        <item x="98"/>
        <item x="84"/>
        <item x="35"/>
        <item x="45"/>
        <item x="1"/>
        <item x="49"/>
        <item x="34"/>
        <item x="23"/>
        <item x="39"/>
        <item x="27"/>
        <item x="25"/>
        <item x="57"/>
        <item x="2"/>
        <item x="3"/>
        <item x="32"/>
        <item x="7"/>
        <item x="15"/>
        <item x="29"/>
        <item x="4"/>
        <item x="5"/>
        <item x="0"/>
        <item x="81"/>
        <item x="50"/>
        <item x="6"/>
        <item x="30"/>
        <item x="26"/>
        <item x="13"/>
        <item x="63"/>
        <item x="12"/>
        <item x="8"/>
        <item x="55"/>
        <item x="73"/>
        <item x="38"/>
        <item x="42"/>
        <item x="59"/>
        <item x="68"/>
        <item x="80"/>
        <item x="82"/>
        <item x="51"/>
        <item x="71"/>
        <item x="14"/>
        <item x="87"/>
        <item x="95"/>
        <item x="33"/>
        <item x="70"/>
        <item x="31"/>
        <item x="40"/>
        <item x="92"/>
        <item x="22"/>
        <item x="58"/>
        <item x="90"/>
        <item x="62"/>
        <item x="37"/>
        <item x="86"/>
        <item x="85"/>
        <item x="52"/>
        <item x="97"/>
        <item x="60"/>
        <item x="48"/>
        <item x="19"/>
        <item x="41"/>
        <item x="83"/>
        <item x="36"/>
        <item x="78"/>
        <item x="88"/>
        <item x="91"/>
        <item x="93"/>
        <item x="67"/>
        <item x="69"/>
        <item x="72"/>
        <item x="44"/>
        <item x="18"/>
        <item x="16"/>
        <item x="75"/>
        <item x="46"/>
        <item x="20"/>
        <item x="96"/>
        <item x="54"/>
        <item t="default"/>
      </items>
      <autoSortScope>
        <pivotArea dataOnly="0" outline="0" fieldPosition="0">
          <references count="1">
            <reference field="4294967294" count="1" selected="0">
              <x v="0"/>
            </reference>
          </references>
        </pivotArea>
      </autoSortScope>
    </pivotField>
    <pivotField showAll="0">
      <items count="100">
        <item x="85"/>
        <item x="83"/>
        <item x="18"/>
        <item x="96"/>
        <item x="91"/>
        <item x="80"/>
        <item x="86"/>
        <item x="97"/>
        <item x="25"/>
        <item x="20"/>
        <item x="37"/>
        <item x="43"/>
        <item x="40"/>
        <item x="95"/>
        <item x="94"/>
        <item x="54"/>
        <item x="52"/>
        <item x="26"/>
        <item x="44"/>
        <item x="70"/>
        <item x="58"/>
        <item x="90"/>
        <item x="45"/>
        <item x="13"/>
        <item x="57"/>
        <item x="24"/>
        <item x="62"/>
        <item x="22"/>
        <item x="87"/>
        <item x="31"/>
        <item x="60"/>
        <item x="65"/>
        <item x="64"/>
        <item x="77"/>
        <item x="53"/>
        <item x="88"/>
        <item x="47"/>
        <item x="66"/>
        <item x="84"/>
        <item x="74"/>
        <item x="89"/>
        <item x="28"/>
        <item x="27"/>
        <item x="71"/>
        <item x="73"/>
        <item x="76"/>
        <item x="29"/>
        <item x="63"/>
        <item x="72"/>
        <item x="41"/>
        <item x="56"/>
        <item x="68"/>
        <item x="51"/>
        <item x="82"/>
        <item x="34"/>
        <item x="50"/>
        <item x="75"/>
        <item x="69"/>
        <item x="46"/>
        <item x="15"/>
        <item x="81"/>
        <item x="48"/>
        <item x="21"/>
        <item x="67"/>
        <item x="38"/>
        <item x="39"/>
        <item x="19"/>
        <item x="55"/>
        <item x="92"/>
        <item x="93"/>
        <item x="49"/>
        <item x="36"/>
        <item x="98"/>
        <item x="11"/>
        <item x="59"/>
        <item x="9"/>
        <item x="61"/>
        <item x="42"/>
        <item x="78"/>
        <item x="79"/>
        <item x="10"/>
        <item x="12"/>
        <item x="23"/>
        <item x="14"/>
        <item x="35"/>
        <item x="33"/>
        <item x="17"/>
        <item x="16"/>
        <item x="8"/>
        <item x="32"/>
        <item x="30"/>
        <item x="7"/>
        <item x="5"/>
        <item x="6"/>
        <item x="1"/>
        <item x="4"/>
        <item x="2"/>
        <item x="3"/>
        <item x="0"/>
        <item t="default"/>
      </items>
    </pivotField>
    <pivotField showAll="0"/>
    <pivotField showAll="0">
      <items count="101">
        <item x="89"/>
        <item x="32"/>
        <item x="71"/>
        <item x="50"/>
        <item x="82"/>
        <item x="85"/>
        <item x="23"/>
        <item x="88"/>
        <item x="39"/>
        <item x="99"/>
        <item x="78"/>
        <item x="81"/>
        <item x="72"/>
        <item x="30"/>
        <item x="57"/>
        <item x="59"/>
        <item x="93"/>
        <item x="79"/>
        <item x="94"/>
        <item x="76"/>
        <item x="49"/>
        <item x="83"/>
        <item x="80"/>
        <item x="77"/>
        <item x="92"/>
        <item x="98"/>
        <item x="97"/>
        <item x="67"/>
        <item x="68"/>
        <item x="60"/>
        <item x="48"/>
        <item x="73"/>
        <item x="40"/>
        <item x="53"/>
        <item x="35"/>
        <item x="34"/>
        <item x="41"/>
        <item x="46"/>
        <item x="70"/>
        <item x="55"/>
        <item x="44"/>
        <item x="56"/>
        <item x="15"/>
        <item x="43"/>
        <item x="74"/>
        <item x="87"/>
        <item x="52"/>
        <item x="45"/>
        <item x="51"/>
        <item x="54"/>
        <item x="29"/>
        <item x="63"/>
        <item x="27"/>
        <item x="20"/>
        <item x="38"/>
        <item x="64"/>
        <item x="58"/>
        <item x="25"/>
        <item x="36"/>
        <item x="11"/>
        <item x="37"/>
        <item x="22"/>
        <item x="28"/>
        <item x="86"/>
        <item x="24"/>
        <item x="31"/>
        <item x="96"/>
        <item x="21"/>
        <item x="90"/>
        <item x="3"/>
        <item x="26"/>
        <item x="14"/>
        <item x="84"/>
        <item x="75"/>
        <item x="69"/>
        <item x="16"/>
        <item x="1"/>
        <item x="95"/>
        <item x="91"/>
        <item x="62"/>
        <item x="17"/>
        <item x="4"/>
        <item x="2"/>
        <item x="7"/>
        <item x="61"/>
        <item x="18"/>
        <item x="6"/>
        <item x="5"/>
        <item x="65"/>
        <item x="66"/>
        <item x="47"/>
        <item x="0"/>
        <item x="12"/>
        <item x="19"/>
        <item x="13"/>
        <item x="42"/>
        <item x="33"/>
        <item x="10"/>
        <item x="8"/>
        <item x="9"/>
        <item t="default"/>
      </items>
    </pivotField>
    <pivotField showAll="0"/>
    <pivotField showAll="0">
      <items count="66">
        <item x="64"/>
        <item x="44"/>
        <item x="62"/>
        <item x="46"/>
        <item x="39"/>
        <item x="52"/>
        <item x="33"/>
        <item x="31"/>
        <item x="51"/>
        <item x="45"/>
        <item x="56"/>
        <item x="57"/>
        <item x="38"/>
        <item x="36"/>
        <item x="58"/>
        <item x="40"/>
        <item x="60"/>
        <item x="34"/>
        <item x="53"/>
        <item x="55"/>
        <item x="54"/>
        <item x="48"/>
        <item x="28"/>
        <item x="19"/>
        <item x="37"/>
        <item x="43"/>
        <item x="49"/>
        <item x="41"/>
        <item x="12"/>
        <item x="59"/>
        <item x="63"/>
        <item x="25"/>
        <item x="32"/>
        <item x="29"/>
        <item x="14"/>
        <item x="21"/>
        <item x="50"/>
        <item x="47"/>
        <item x="17"/>
        <item x="42"/>
        <item x="23"/>
        <item x="30"/>
        <item x="26"/>
        <item x="16"/>
        <item x="27"/>
        <item x="11"/>
        <item x="35"/>
        <item x="20"/>
        <item x="10"/>
        <item x="61"/>
        <item x="18"/>
        <item x="7"/>
        <item x="6"/>
        <item x="9"/>
        <item x="15"/>
        <item x="22"/>
        <item x="13"/>
        <item x="8"/>
        <item x="24"/>
        <item x="4"/>
        <item x="5"/>
        <item x="2"/>
        <item x="3"/>
        <item x="0"/>
        <item x="1"/>
        <item t="default"/>
      </items>
    </pivotField>
    <pivotField showAll="0"/>
    <pivotField showAll="0">
      <items count="24">
        <item x="17"/>
        <item x="7"/>
        <item x="18"/>
        <item x="15"/>
        <item x="3"/>
        <item x="13"/>
        <item x="20"/>
        <item x="19"/>
        <item x="9"/>
        <item x="1"/>
        <item x="16"/>
        <item x="11"/>
        <item x="2"/>
        <item x="22"/>
        <item x="14"/>
        <item x="21"/>
        <item x="12"/>
        <item x="10"/>
        <item x="0"/>
        <item x="8"/>
        <item x="4"/>
        <item x="6"/>
        <item x="5"/>
        <item t="default"/>
      </items>
    </pivotField>
    <pivotField showAll="0">
      <items count="97">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s>
  <rowFields count="1">
    <field x="1"/>
  </rowFields>
  <rowItems count="16">
    <i>
      <x v="42"/>
    </i>
    <i>
      <x v="26"/>
    </i>
    <i>
      <x v="34"/>
    </i>
    <i>
      <x v="35"/>
    </i>
    <i>
      <x v="40"/>
    </i>
    <i>
      <x v="41"/>
    </i>
    <i>
      <x v="45"/>
    </i>
    <i>
      <x v="37"/>
    </i>
    <i>
      <x v="51"/>
    </i>
    <i>
      <x v="6"/>
    </i>
    <i>
      <x v="12"/>
    </i>
    <i>
      <x v="3"/>
    </i>
    <i>
      <x v="50"/>
    </i>
    <i>
      <x v="48"/>
    </i>
    <i>
      <x v="62"/>
    </i>
    <i t="grand">
      <x/>
    </i>
  </rowItems>
  <colItems count="1">
    <i/>
  </colItems>
  <dataFields count="1">
    <dataField name="Sum of Rank" fld="10"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Between" evalOrder="-1" id="2" iMeasureFld="0">
      <autoFilter ref="A1">
        <filterColumn colId="0">
          <customFilters and="1">
            <customFilter operator="greaterThanOrEqual" val="1"/>
            <customFilter operator="lessThanOrEqual" val="15"/>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C2BC25-8431-445A-810E-0CBA2CA073E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11">
    <pivotField showAll="0"/>
    <pivotField axis="axisRow" showAll="0" measureFilter="1" sortType="ascending">
      <items count="101">
        <item x="56"/>
        <item x="17"/>
        <item x="43"/>
        <item x="11"/>
        <item x="47"/>
        <item x="24"/>
        <item x="9"/>
        <item x="65"/>
        <item x="74"/>
        <item x="21"/>
        <item x="89"/>
        <item x="28"/>
        <item x="10"/>
        <item x="94"/>
        <item x="76"/>
        <item x="64"/>
        <item x="99"/>
        <item x="53"/>
        <item x="77"/>
        <item x="79"/>
        <item x="66"/>
        <item x="61"/>
        <item x="98"/>
        <item x="84"/>
        <item x="35"/>
        <item x="45"/>
        <item x="1"/>
        <item x="49"/>
        <item x="34"/>
        <item x="23"/>
        <item x="39"/>
        <item x="27"/>
        <item x="25"/>
        <item x="57"/>
        <item x="2"/>
        <item x="3"/>
        <item x="32"/>
        <item x="7"/>
        <item x="15"/>
        <item x="29"/>
        <item x="4"/>
        <item x="5"/>
        <item x="0"/>
        <item x="81"/>
        <item x="50"/>
        <item x="6"/>
        <item x="30"/>
        <item x="26"/>
        <item x="13"/>
        <item x="63"/>
        <item x="12"/>
        <item x="8"/>
        <item x="55"/>
        <item x="73"/>
        <item x="38"/>
        <item x="42"/>
        <item x="59"/>
        <item x="68"/>
        <item x="80"/>
        <item x="82"/>
        <item x="51"/>
        <item x="71"/>
        <item x="14"/>
        <item x="87"/>
        <item x="95"/>
        <item x="33"/>
        <item x="70"/>
        <item x="31"/>
        <item x="40"/>
        <item x="92"/>
        <item x="22"/>
        <item x="58"/>
        <item x="90"/>
        <item x="62"/>
        <item x="37"/>
        <item x="86"/>
        <item x="85"/>
        <item x="52"/>
        <item x="97"/>
        <item x="60"/>
        <item x="48"/>
        <item x="19"/>
        <item x="41"/>
        <item x="83"/>
        <item x="36"/>
        <item x="78"/>
        <item x="88"/>
        <item x="91"/>
        <item x="93"/>
        <item x="67"/>
        <item x="69"/>
        <item x="72"/>
        <item x="44"/>
        <item x="18"/>
        <item x="16"/>
        <item x="75"/>
        <item x="46"/>
        <item x="20"/>
        <item x="96"/>
        <item x="54"/>
        <item t="default"/>
      </items>
      <autoSortScope>
        <pivotArea dataOnly="0" outline="0" fieldPosition="0">
          <references count="1">
            <reference field="4294967294" count="1" selected="0">
              <x v="0"/>
            </reference>
          </references>
        </pivotArea>
      </autoSortScope>
    </pivotField>
    <pivotField dataField="1" showAll="0">
      <items count="100">
        <item x="85"/>
        <item x="83"/>
        <item x="18"/>
        <item x="96"/>
        <item x="91"/>
        <item x="80"/>
        <item x="86"/>
        <item x="97"/>
        <item x="25"/>
        <item x="20"/>
        <item x="37"/>
        <item x="43"/>
        <item x="40"/>
        <item x="95"/>
        <item x="94"/>
        <item x="54"/>
        <item x="52"/>
        <item x="26"/>
        <item x="44"/>
        <item x="70"/>
        <item x="58"/>
        <item x="90"/>
        <item x="45"/>
        <item x="13"/>
        <item x="57"/>
        <item x="24"/>
        <item x="62"/>
        <item x="22"/>
        <item x="87"/>
        <item x="31"/>
        <item x="60"/>
        <item x="65"/>
        <item x="64"/>
        <item x="77"/>
        <item x="53"/>
        <item x="88"/>
        <item x="47"/>
        <item x="66"/>
        <item x="84"/>
        <item x="74"/>
        <item x="89"/>
        <item x="28"/>
        <item x="27"/>
        <item x="71"/>
        <item x="73"/>
        <item x="76"/>
        <item x="29"/>
        <item x="63"/>
        <item x="72"/>
        <item x="41"/>
        <item x="56"/>
        <item x="68"/>
        <item x="51"/>
        <item x="82"/>
        <item x="34"/>
        <item x="50"/>
        <item x="75"/>
        <item x="69"/>
        <item x="46"/>
        <item x="15"/>
        <item x="81"/>
        <item x="48"/>
        <item x="21"/>
        <item x="67"/>
        <item x="38"/>
        <item x="39"/>
        <item x="19"/>
        <item x="55"/>
        <item x="92"/>
        <item x="93"/>
        <item x="49"/>
        <item x="36"/>
        <item x="98"/>
        <item x="11"/>
        <item x="59"/>
        <item x="9"/>
        <item x="61"/>
        <item x="42"/>
        <item x="78"/>
        <item x="79"/>
        <item x="10"/>
        <item x="12"/>
        <item x="23"/>
        <item x="14"/>
        <item x="35"/>
        <item x="33"/>
        <item x="17"/>
        <item x="16"/>
        <item x="8"/>
        <item x="32"/>
        <item x="30"/>
        <item x="7"/>
        <item x="5"/>
        <item x="6"/>
        <item x="1"/>
        <item x="4"/>
        <item x="2"/>
        <item x="3"/>
        <item x="0"/>
        <item t="default"/>
      </items>
    </pivotField>
    <pivotField showAll="0">
      <items count="99">
        <item x="97"/>
        <item x="68"/>
        <item x="64"/>
        <item x="75"/>
        <item x="78"/>
        <item x="91"/>
        <item x="60"/>
        <item x="88"/>
        <item x="92"/>
        <item x="84"/>
        <item x="77"/>
        <item x="66"/>
        <item x="33"/>
        <item x="65"/>
        <item x="93"/>
        <item x="82"/>
        <item x="54"/>
        <item x="74"/>
        <item x="89"/>
        <item x="41"/>
        <item x="72"/>
        <item x="96"/>
        <item x="73"/>
        <item x="81"/>
        <item x="76"/>
        <item x="46"/>
        <item x="94"/>
        <item x="58"/>
        <item x="55"/>
        <item x="79"/>
        <item x="62"/>
        <item x="37"/>
        <item x="61"/>
        <item x="86"/>
        <item x="83"/>
        <item x="87"/>
        <item x="95"/>
        <item x="63"/>
        <item x="52"/>
        <item x="36"/>
        <item x="71"/>
        <item x="85"/>
        <item x="80"/>
        <item x="67"/>
        <item x="48"/>
        <item x="57"/>
        <item x="45"/>
        <item x="38"/>
        <item x="90"/>
        <item x="30"/>
        <item x="59"/>
        <item x="69"/>
        <item x="47"/>
        <item x="50"/>
        <item x="70"/>
        <item x="35"/>
        <item x="49"/>
        <item x="32"/>
        <item x="53"/>
        <item x="56"/>
        <item x="40"/>
        <item x="34"/>
        <item x="44"/>
        <item x="51"/>
        <item x="16"/>
        <item x="17"/>
        <item x="31"/>
        <item x="43"/>
        <item x="19"/>
        <item x="24"/>
        <item x="28"/>
        <item x="42"/>
        <item x="12"/>
        <item x="10"/>
        <item x="22"/>
        <item x="8"/>
        <item x="9"/>
        <item x="23"/>
        <item x="27"/>
        <item x="21"/>
        <item x="14"/>
        <item x="39"/>
        <item x="29"/>
        <item x="13"/>
        <item x="15"/>
        <item x="18"/>
        <item x="11"/>
        <item x="26"/>
        <item x="25"/>
        <item x="20"/>
        <item x="7"/>
        <item x="6"/>
        <item x="4"/>
        <item x="5"/>
        <item x="3"/>
        <item x="2"/>
        <item x="1"/>
        <item x="0"/>
        <item t="default"/>
      </items>
    </pivotField>
    <pivotField showAll="0">
      <items count="101">
        <item x="89"/>
        <item x="32"/>
        <item x="71"/>
        <item x="50"/>
        <item x="82"/>
        <item x="85"/>
        <item x="23"/>
        <item x="88"/>
        <item x="39"/>
        <item x="99"/>
        <item x="78"/>
        <item x="81"/>
        <item x="72"/>
        <item x="30"/>
        <item x="57"/>
        <item x="59"/>
        <item x="93"/>
        <item x="79"/>
        <item x="94"/>
        <item x="76"/>
        <item x="49"/>
        <item x="83"/>
        <item x="80"/>
        <item x="77"/>
        <item x="92"/>
        <item x="98"/>
        <item x="97"/>
        <item x="67"/>
        <item x="68"/>
        <item x="60"/>
        <item x="48"/>
        <item x="73"/>
        <item x="40"/>
        <item x="53"/>
        <item x="35"/>
        <item x="34"/>
        <item x="41"/>
        <item x="46"/>
        <item x="70"/>
        <item x="55"/>
        <item x="44"/>
        <item x="56"/>
        <item x="15"/>
        <item x="43"/>
        <item x="74"/>
        <item x="87"/>
        <item x="52"/>
        <item x="45"/>
        <item x="51"/>
        <item x="54"/>
        <item x="29"/>
        <item x="63"/>
        <item x="27"/>
        <item x="20"/>
        <item x="38"/>
        <item x="64"/>
        <item x="58"/>
        <item x="25"/>
        <item x="36"/>
        <item x="11"/>
        <item x="37"/>
        <item x="22"/>
        <item x="28"/>
        <item x="86"/>
        <item x="24"/>
        <item x="31"/>
        <item x="96"/>
        <item x="21"/>
        <item x="90"/>
        <item x="3"/>
        <item x="26"/>
        <item x="14"/>
        <item x="84"/>
        <item x="75"/>
        <item x="69"/>
        <item x="16"/>
        <item x="1"/>
        <item x="95"/>
        <item x="91"/>
        <item x="62"/>
        <item x="17"/>
        <item x="4"/>
        <item x="2"/>
        <item x="7"/>
        <item x="61"/>
        <item x="18"/>
        <item x="6"/>
        <item x="5"/>
        <item x="65"/>
        <item x="66"/>
        <item x="47"/>
        <item x="0"/>
        <item x="12"/>
        <item x="19"/>
        <item x="13"/>
        <item x="42"/>
        <item x="33"/>
        <item x="10"/>
        <item x="8"/>
        <item x="9"/>
        <item t="default"/>
      </items>
    </pivotField>
    <pivotField showAll="0">
      <items count="100">
        <item x="95"/>
        <item x="26"/>
        <item x="94"/>
        <item x="89"/>
        <item x="82"/>
        <item x="75"/>
        <item x="13"/>
        <item x="85"/>
        <item x="45"/>
        <item x="91"/>
        <item x="35"/>
        <item x="19"/>
        <item x="24"/>
        <item x="42"/>
        <item x="62"/>
        <item x="90"/>
        <item x="40"/>
        <item x="56"/>
        <item x="72"/>
        <item x="97"/>
        <item x="51"/>
        <item x="64"/>
        <item x="92"/>
        <item x="9"/>
        <item x="21"/>
        <item x="37"/>
        <item x="34"/>
        <item x="88"/>
        <item x="84"/>
        <item x="46"/>
        <item x="50"/>
        <item x="33"/>
        <item x="47"/>
        <item x="87"/>
        <item x="57"/>
        <item x="54"/>
        <item x="25"/>
        <item x="5"/>
        <item x="68"/>
        <item x="61"/>
        <item x="70"/>
        <item x="44"/>
        <item x="58"/>
        <item x="29"/>
        <item x="27"/>
        <item x="17"/>
        <item x="4"/>
        <item x="96"/>
        <item x="2"/>
        <item x="59"/>
        <item x="41"/>
        <item x="86"/>
        <item x="71"/>
        <item x="1"/>
        <item x="66"/>
        <item x="15"/>
        <item x="52"/>
        <item x="16"/>
        <item x="23"/>
        <item x="83"/>
        <item x="53"/>
        <item x="20"/>
        <item x="28"/>
        <item x="18"/>
        <item x="63"/>
        <item x="93"/>
        <item x="10"/>
        <item x="79"/>
        <item x="81"/>
        <item x="7"/>
        <item x="22"/>
        <item x="0"/>
        <item x="77"/>
        <item x="30"/>
        <item x="32"/>
        <item x="43"/>
        <item x="60"/>
        <item x="78"/>
        <item x="14"/>
        <item x="6"/>
        <item x="11"/>
        <item x="31"/>
        <item x="36"/>
        <item x="80"/>
        <item x="48"/>
        <item x="98"/>
        <item x="49"/>
        <item x="74"/>
        <item x="3"/>
        <item x="55"/>
        <item x="39"/>
        <item x="67"/>
        <item x="69"/>
        <item x="12"/>
        <item x="73"/>
        <item x="8"/>
        <item x="76"/>
        <item x="65"/>
        <item x="38"/>
        <item t="default"/>
      </items>
    </pivotField>
    <pivotField showAll="0">
      <items count="66">
        <item x="64"/>
        <item x="44"/>
        <item x="62"/>
        <item x="46"/>
        <item x="39"/>
        <item x="52"/>
        <item x="33"/>
        <item x="31"/>
        <item x="51"/>
        <item x="45"/>
        <item x="56"/>
        <item x="57"/>
        <item x="38"/>
        <item x="36"/>
        <item x="58"/>
        <item x="40"/>
        <item x="60"/>
        <item x="34"/>
        <item x="53"/>
        <item x="55"/>
        <item x="54"/>
        <item x="48"/>
        <item x="28"/>
        <item x="19"/>
        <item x="37"/>
        <item x="43"/>
        <item x="49"/>
        <item x="41"/>
        <item x="12"/>
        <item x="59"/>
        <item x="63"/>
        <item x="25"/>
        <item x="32"/>
        <item x="29"/>
        <item x="14"/>
        <item x="21"/>
        <item x="50"/>
        <item x="47"/>
        <item x="17"/>
        <item x="42"/>
        <item x="23"/>
        <item x="30"/>
        <item x="26"/>
        <item x="16"/>
        <item x="27"/>
        <item x="11"/>
        <item x="35"/>
        <item x="20"/>
        <item x="10"/>
        <item x="61"/>
        <item x="18"/>
        <item x="7"/>
        <item x="6"/>
        <item x="9"/>
        <item x="15"/>
        <item x="22"/>
        <item x="13"/>
        <item x="8"/>
        <item x="24"/>
        <item x="4"/>
        <item x="5"/>
        <item x="2"/>
        <item x="3"/>
        <item x="0"/>
        <item x="1"/>
        <item t="default"/>
      </items>
    </pivotField>
    <pivotField showAll="0"/>
    <pivotField showAll="0">
      <items count="24">
        <item x="17"/>
        <item x="7"/>
        <item x="18"/>
        <item x="15"/>
        <item x="3"/>
        <item x="13"/>
        <item x="20"/>
        <item x="19"/>
        <item x="9"/>
        <item x="1"/>
        <item x="16"/>
        <item x="11"/>
        <item x="2"/>
        <item x="22"/>
        <item x="14"/>
        <item x="21"/>
        <item x="12"/>
        <item x="10"/>
        <item x="0"/>
        <item x="8"/>
        <item x="4"/>
        <item x="6"/>
        <item x="5"/>
        <item t="default"/>
      </items>
    </pivotField>
    <pivotField showAll="0">
      <items count="97">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s>
  <rowFields count="1">
    <field x="1"/>
  </rowFields>
  <rowItems count="12">
    <i>
      <x v="51"/>
    </i>
    <i>
      <x v="36"/>
    </i>
    <i>
      <x v="46"/>
    </i>
    <i>
      <x v="37"/>
    </i>
    <i>
      <x v="41"/>
    </i>
    <i>
      <x v="45"/>
    </i>
    <i>
      <x v="26"/>
    </i>
    <i>
      <x v="40"/>
    </i>
    <i>
      <x v="34"/>
    </i>
    <i>
      <x v="35"/>
    </i>
    <i>
      <x v="42"/>
    </i>
    <i t="grand">
      <x/>
    </i>
  </rowItems>
  <colItems count="1">
    <i/>
  </colItems>
  <dataFields count="1">
    <dataField name="Sum of TLR"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valueBetween" evalOrder="-1" id="3" iMeasureFld="0">
      <autoFilter ref="A1">
        <filterColumn colId="0">
          <customFilters and="1">
            <customFilter operator="greaterThanOrEqual" val="70"/>
            <customFilter operator="lessThanOrEqual" val="10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A3E100-E1C1-4CCA-B377-0673A41EC262}"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27" firstHeaderRow="0" firstDataRow="1" firstDataCol="1"/>
  <pivotFields count="11">
    <pivotField showAll="0"/>
    <pivotField showAll="0">
      <items count="101">
        <item x="56"/>
        <item x="17"/>
        <item x="43"/>
        <item x="11"/>
        <item x="47"/>
        <item x="24"/>
        <item x="9"/>
        <item x="65"/>
        <item x="74"/>
        <item x="21"/>
        <item x="89"/>
        <item x="28"/>
        <item x="10"/>
        <item x="94"/>
        <item x="76"/>
        <item x="64"/>
        <item x="99"/>
        <item x="53"/>
        <item x="77"/>
        <item x="79"/>
        <item x="66"/>
        <item x="61"/>
        <item x="98"/>
        <item x="84"/>
        <item x="35"/>
        <item x="45"/>
        <item x="1"/>
        <item x="49"/>
        <item x="34"/>
        <item x="23"/>
        <item x="39"/>
        <item x="27"/>
        <item x="25"/>
        <item x="57"/>
        <item x="2"/>
        <item x="3"/>
        <item x="32"/>
        <item x="7"/>
        <item x="15"/>
        <item x="29"/>
        <item x="4"/>
        <item x="5"/>
        <item x="0"/>
        <item x="81"/>
        <item x="50"/>
        <item x="6"/>
        <item x="30"/>
        <item x="26"/>
        <item x="13"/>
        <item x="63"/>
        <item x="12"/>
        <item x="8"/>
        <item x="55"/>
        <item x="73"/>
        <item x="38"/>
        <item x="42"/>
        <item x="59"/>
        <item x="68"/>
        <item x="80"/>
        <item x="82"/>
        <item x="51"/>
        <item x="71"/>
        <item x="14"/>
        <item x="87"/>
        <item x="95"/>
        <item x="33"/>
        <item x="70"/>
        <item x="31"/>
        <item x="40"/>
        <item x="92"/>
        <item x="22"/>
        <item x="58"/>
        <item x="90"/>
        <item x="62"/>
        <item x="37"/>
        <item x="86"/>
        <item x="85"/>
        <item x="52"/>
        <item x="97"/>
        <item x="60"/>
        <item x="48"/>
        <item x="19"/>
        <item x="41"/>
        <item x="83"/>
        <item x="36"/>
        <item x="78"/>
        <item x="88"/>
        <item x="91"/>
        <item x="93"/>
        <item x="67"/>
        <item x="69"/>
        <item x="72"/>
        <item x="44"/>
        <item x="18"/>
        <item x="16"/>
        <item x="75"/>
        <item x="46"/>
        <item x="20"/>
        <item x="96"/>
        <item x="54"/>
        <item t="default"/>
      </items>
    </pivotField>
    <pivotField showAll="0">
      <items count="100">
        <item x="85"/>
        <item x="83"/>
        <item x="18"/>
        <item x="96"/>
        <item x="91"/>
        <item x="80"/>
        <item x="86"/>
        <item x="97"/>
        <item x="25"/>
        <item x="20"/>
        <item x="37"/>
        <item x="43"/>
        <item x="40"/>
        <item x="95"/>
        <item x="94"/>
        <item x="54"/>
        <item x="52"/>
        <item x="26"/>
        <item x="44"/>
        <item x="70"/>
        <item x="58"/>
        <item x="90"/>
        <item x="45"/>
        <item x="13"/>
        <item x="57"/>
        <item x="24"/>
        <item x="62"/>
        <item x="22"/>
        <item x="87"/>
        <item x="31"/>
        <item x="60"/>
        <item x="65"/>
        <item x="64"/>
        <item x="77"/>
        <item x="53"/>
        <item x="88"/>
        <item x="47"/>
        <item x="66"/>
        <item x="84"/>
        <item x="74"/>
        <item x="89"/>
        <item x="28"/>
        <item x="27"/>
        <item x="71"/>
        <item x="73"/>
        <item x="76"/>
        <item x="29"/>
        <item x="63"/>
        <item x="72"/>
        <item x="41"/>
        <item x="56"/>
        <item x="68"/>
        <item x="51"/>
        <item x="82"/>
        <item x="34"/>
        <item x="50"/>
        <item x="75"/>
        <item x="69"/>
        <item x="46"/>
        <item x="15"/>
        <item x="81"/>
        <item x="48"/>
        <item x="21"/>
        <item x="67"/>
        <item x="38"/>
        <item x="39"/>
        <item x="19"/>
        <item x="55"/>
        <item x="92"/>
        <item x="93"/>
        <item x="49"/>
        <item x="36"/>
        <item x="98"/>
        <item x="11"/>
        <item x="59"/>
        <item x="9"/>
        <item x="61"/>
        <item x="42"/>
        <item x="78"/>
        <item x="79"/>
        <item x="10"/>
        <item x="12"/>
        <item x="23"/>
        <item x="14"/>
        <item x="35"/>
        <item x="33"/>
        <item x="17"/>
        <item x="16"/>
        <item x="8"/>
        <item x="32"/>
        <item x="30"/>
        <item x="7"/>
        <item x="5"/>
        <item x="6"/>
        <item x="1"/>
        <item x="4"/>
        <item x="2"/>
        <item x="3"/>
        <item x="0"/>
        <item t="default"/>
      </items>
    </pivotField>
    <pivotField showAll="0"/>
    <pivotField dataField="1" showAll="0">
      <items count="101">
        <item x="89"/>
        <item x="32"/>
        <item x="71"/>
        <item x="50"/>
        <item x="82"/>
        <item x="85"/>
        <item x="23"/>
        <item x="88"/>
        <item x="39"/>
        <item x="99"/>
        <item x="78"/>
        <item x="81"/>
        <item x="72"/>
        <item x="30"/>
        <item x="57"/>
        <item x="59"/>
        <item x="93"/>
        <item x="79"/>
        <item x="94"/>
        <item x="76"/>
        <item x="49"/>
        <item x="83"/>
        <item x="80"/>
        <item x="77"/>
        <item x="92"/>
        <item x="98"/>
        <item x="97"/>
        <item x="67"/>
        <item x="68"/>
        <item x="60"/>
        <item x="48"/>
        <item x="73"/>
        <item x="40"/>
        <item x="53"/>
        <item x="35"/>
        <item x="34"/>
        <item x="41"/>
        <item x="46"/>
        <item x="70"/>
        <item x="55"/>
        <item x="44"/>
        <item x="56"/>
        <item x="15"/>
        <item x="43"/>
        <item x="74"/>
        <item x="87"/>
        <item x="52"/>
        <item x="45"/>
        <item x="51"/>
        <item x="54"/>
        <item x="29"/>
        <item x="63"/>
        <item x="27"/>
        <item x="20"/>
        <item x="38"/>
        <item x="64"/>
        <item x="58"/>
        <item x="25"/>
        <item x="36"/>
        <item x="11"/>
        <item x="37"/>
        <item x="22"/>
        <item x="28"/>
        <item x="86"/>
        <item x="24"/>
        <item x="31"/>
        <item x="96"/>
        <item x="21"/>
        <item x="90"/>
        <item x="3"/>
        <item x="26"/>
        <item x="14"/>
        <item x="84"/>
        <item x="75"/>
        <item x="69"/>
        <item x="16"/>
        <item x="1"/>
        <item x="95"/>
        <item x="91"/>
        <item x="62"/>
        <item x="17"/>
        <item x="4"/>
        <item x="2"/>
        <item x="7"/>
        <item x="61"/>
        <item x="18"/>
        <item x="6"/>
        <item x="5"/>
        <item x="65"/>
        <item x="66"/>
        <item x="47"/>
        <item x="0"/>
        <item x="12"/>
        <item x="19"/>
        <item x="13"/>
        <item x="42"/>
        <item x="33"/>
        <item x="10"/>
        <item x="8"/>
        <item x="9"/>
        <item t="default"/>
      </items>
    </pivotField>
    <pivotField showAll="0"/>
    <pivotField dataField="1" showAll="0">
      <items count="66">
        <item x="64"/>
        <item x="44"/>
        <item x="62"/>
        <item x="46"/>
        <item x="39"/>
        <item x="52"/>
        <item x="33"/>
        <item x="31"/>
        <item x="51"/>
        <item x="45"/>
        <item x="56"/>
        <item x="57"/>
        <item x="38"/>
        <item x="36"/>
        <item x="58"/>
        <item x="40"/>
        <item x="60"/>
        <item x="34"/>
        <item x="53"/>
        <item x="55"/>
        <item x="54"/>
        <item x="48"/>
        <item x="28"/>
        <item x="19"/>
        <item x="37"/>
        <item x="43"/>
        <item x="49"/>
        <item x="41"/>
        <item x="12"/>
        <item x="59"/>
        <item x="63"/>
        <item x="25"/>
        <item x="32"/>
        <item x="29"/>
        <item x="14"/>
        <item x="21"/>
        <item x="50"/>
        <item x="47"/>
        <item x="17"/>
        <item x="42"/>
        <item x="23"/>
        <item x="30"/>
        <item x="26"/>
        <item x="16"/>
        <item x="27"/>
        <item x="11"/>
        <item x="35"/>
        <item x="20"/>
        <item x="10"/>
        <item x="61"/>
        <item x="18"/>
        <item x="7"/>
        <item x="6"/>
        <item x="9"/>
        <item x="15"/>
        <item x="22"/>
        <item x="13"/>
        <item x="8"/>
        <item x="24"/>
        <item x="4"/>
        <item x="5"/>
        <item x="2"/>
        <item x="3"/>
        <item x="0"/>
        <item x="1"/>
        <item t="default"/>
      </items>
    </pivotField>
    <pivotField showAll="0"/>
    <pivotField axis="axisRow" showAll="0">
      <items count="24">
        <item x="17"/>
        <item x="7"/>
        <item x="18"/>
        <item x="15"/>
        <item x="3"/>
        <item x="13"/>
        <item x="20"/>
        <item x="19"/>
        <item x="9"/>
        <item x="1"/>
        <item x="16"/>
        <item x="11"/>
        <item x="2"/>
        <item x="22"/>
        <item x="14"/>
        <item x="21"/>
        <item x="12"/>
        <item x="10"/>
        <item x="0"/>
        <item x="8"/>
        <item x="4"/>
        <item x="6"/>
        <item x="5"/>
        <item t="default"/>
      </items>
    </pivotField>
    <pivotField showAll="0">
      <items count="97">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s>
  <rowFields count="1">
    <field x="8"/>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2">
    <i>
      <x/>
    </i>
    <i i="1">
      <x v="1"/>
    </i>
  </colItems>
  <dataFields count="2">
    <dataField name="Sum of GO" fld="4" baseField="0" baseItem="0"/>
    <dataField name="Sum of PERCEPTION" fld="6"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18D812-EFE6-4E9F-9475-AA7335DAD57F}"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1">
    <pivotField showAll="0"/>
    <pivotField axis="axisRow" showAll="0" measureFilter="1" sortType="ascending">
      <items count="101">
        <item x="56"/>
        <item x="17"/>
        <item x="43"/>
        <item x="11"/>
        <item x="47"/>
        <item x="24"/>
        <item x="9"/>
        <item x="65"/>
        <item x="74"/>
        <item x="21"/>
        <item x="89"/>
        <item x="28"/>
        <item x="10"/>
        <item x="94"/>
        <item x="76"/>
        <item x="64"/>
        <item x="99"/>
        <item x="53"/>
        <item x="77"/>
        <item x="79"/>
        <item x="66"/>
        <item x="61"/>
        <item x="98"/>
        <item x="84"/>
        <item x="35"/>
        <item x="45"/>
        <item x="1"/>
        <item x="49"/>
        <item x="34"/>
        <item x="23"/>
        <item x="39"/>
        <item x="27"/>
        <item x="25"/>
        <item x="57"/>
        <item x="2"/>
        <item x="3"/>
        <item x="32"/>
        <item x="7"/>
        <item x="15"/>
        <item x="29"/>
        <item x="4"/>
        <item x="5"/>
        <item x="0"/>
        <item x="81"/>
        <item x="50"/>
        <item x="6"/>
        <item x="30"/>
        <item x="26"/>
        <item x="13"/>
        <item x="63"/>
        <item x="12"/>
        <item x="8"/>
        <item x="55"/>
        <item x="73"/>
        <item x="38"/>
        <item x="42"/>
        <item x="59"/>
        <item x="68"/>
        <item x="80"/>
        <item x="82"/>
        <item x="51"/>
        <item x="71"/>
        <item x="14"/>
        <item x="87"/>
        <item x="95"/>
        <item x="33"/>
        <item x="70"/>
        <item x="31"/>
        <item x="40"/>
        <item x="92"/>
        <item x="22"/>
        <item x="58"/>
        <item x="90"/>
        <item x="62"/>
        <item x="37"/>
        <item x="86"/>
        <item x="85"/>
        <item x="52"/>
        <item x="97"/>
        <item x="60"/>
        <item x="48"/>
        <item x="19"/>
        <item x="41"/>
        <item x="83"/>
        <item x="36"/>
        <item x="78"/>
        <item x="88"/>
        <item x="91"/>
        <item x="93"/>
        <item x="67"/>
        <item x="69"/>
        <item x="72"/>
        <item x="44"/>
        <item x="18"/>
        <item x="16"/>
        <item x="75"/>
        <item x="46"/>
        <item x="20"/>
        <item x="96"/>
        <item x="54"/>
        <item t="default"/>
      </items>
      <autoSortScope>
        <pivotArea dataOnly="0" outline="0" fieldPosition="0">
          <references count="1">
            <reference field="4294967294" count="1" selected="0">
              <x v="0"/>
            </reference>
          </references>
        </pivotArea>
      </autoSortScope>
    </pivotField>
    <pivotField showAll="0">
      <items count="100">
        <item x="85"/>
        <item x="83"/>
        <item x="18"/>
        <item x="96"/>
        <item x="91"/>
        <item x="80"/>
        <item x="86"/>
        <item x="97"/>
        <item x="25"/>
        <item x="20"/>
        <item x="37"/>
        <item x="43"/>
        <item x="40"/>
        <item x="95"/>
        <item x="94"/>
        <item x="54"/>
        <item x="52"/>
        <item x="26"/>
        <item x="44"/>
        <item x="70"/>
        <item x="58"/>
        <item x="90"/>
        <item x="45"/>
        <item x="13"/>
        <item x="57"/>
        <item x="24"/>
        <item x="62"/>
        <item x="22"/>
        <item x="87"/>
        <item x="31"/>
        <item x="60"/>
        <item x="65"/>
        <item x="64"/>
        <item x="77"/>
        <item x="53"/>
        <item x="88"/>
        <item x="47"/>
        <item x="66"/>
        <item x="84"/>
        <item x="74"/>
        <item x="89"/>
        <item x="28"/>
        <item x="27"/>
        <item x="71"/>
        <item x="73"/>
        <item x="76"/>
        <item x="29"/>
        <item x="63"/>
        <item x="72"/>
        <item x="41"/>
        <item x="56"/>
        <item x="68"/>
        <item x="51"/>
        <item x="82"/>
        <item x="34"/>
        <item x="50"/>
        <item x="75"/>
        <item x="69"/>
        <item x="46"/>
        <item x="15"/>
        <item x="81"/>
        <item x="48"/>
        <item x="21"/>
        <item x="67"/>
        <item x="38"/>
        <item x="39"/>
        <item x="19"/>
        <item x="55"/>
        <item x="92"/>
        <item x="93"/>
        <item x="49"/>
        <item x="36"/>
        <item x="98"/>
        <item x="11"/>
        <item x="59"/>
        <item x="9"/>
        <item x="61"/>
        <item x="42"/>
        <item x="78"/>
        <item x="79"/>
        <item x="10"/>
        <item x="12"/>
        <item x="23"/>
        <item x="14"/>
        <item x="35"/>
        <item x="33"/>
        <item x="17"/>
        <item x="16"/>
        <item x="8"/>
        <item x="32"/>
        <item x="30"/>
        <item x="7"/>
        <item x="5"/>
        <item x="6"/>
        <item x="1"/>
        <item x="4"/>
        <item x="2"/>
        <item x="3"/>
        <item x="0"/>
        <item t="default"/>
      </items>
    </pivotField>
    <pivotField showAll="0"/>
    <pivotField showAll="0">
      <items count="101">
        <item x="89"/>
        <item x="32"/>
        <item x="71"/>
        <item x="50"/>
        <item x="82"/>
        <item x="85"/>
        <item x="23"/>
        <item x="88"/>
        <item x="39"/>
        <item x="99"/>
        <item x="78"/>
        <item x="81"/>
        <item x="72"/>
        <item x="30"/>
        <item x="57"/>
        <item x="59"/>
        <item x="93"/>
        <item x="79"/>
        <item x="94"/>
        <item x="76"/>
        <item x="49"/>
        <item x="83"/>
        <item x="80"/>
        <item x="77"/>
        <item x="92"/>
        <item x="98"/>
        <item x="97"/>
        <item x="67"/>
        <item x="68"/>
        <item x="60"/>
        <item x="48"/>
        <item x="73"/>
        <item x="40"/>
        <item x="53"/>
        <item x="35"/>
        <item x="34"/>
        <item x="41"/>
        <item x="46"/>
        <item x="70"/>
        <item x="55"/>
        <item x="44"/>
        <item x="56"/>
        <item x="15"/>
        <item x="43"/>
        <item x="74"/>
        <item x="87"/>
        <item x="52"/>
        <item x="45"/>
        <item x="51"/>
        <item x="54"/>
        <item x="29"/>
        <item x="63"/>
        <item x="27"/>
        <item x="20"/>
        <item x="38"/>
        <item x="64"/>
        <item x="58"/>
        <item x="25"/>
        <item x="36"/>
        <item x="11"/>
        <item x="37"/>
        <item x="22"/>
        <item x="28"/>
        <item x="86"/>
        <item x="24"/>
        <item x="31"/>
        <item x="96"/>
        <item x="21"/>
        <item x="90"/>
        <item x="3"/>
        <item x="26"/>
        <item x="14"/>
        <item x="84"/>
        <item x="75"/>
        <item x="69"/>
        <item x="16"/>
        <item x="1"/>
        <item x="95"/>
        <item x="91"/>
        <item x="62"/>
        <item x="17"/>
        <item x="4"/>
        <item x="2"/>
        <item x="7"/>
        <item x="61"/>
        <item x="18"/>
        <item x="6"/>
        <item x="5"/>
        <item x="65"/>
        <item x="66"/>
        <item x="47"/>
        <item x="0"/>
        <item x="12"/>
        <item x="19"/>
        <item x="13"/>
        <item x="42"/>
        <item x="33"/>
        <item x="10"/>
        <item x="8"/>
        <item x="9"/>
        <item t="default"/>
      </items>
    </pivotField>
    <pivotField showAll="0"/>
    <pivotField showAll="0">
      <items count="66">
        <item x="64"/>
        <item x="44"/>
        <item x="62"/>
        <item x="46"/>
        <item x="39"/>
        <item x="52"/>
        <item x="33"/>
        <item x="31"/>
        <item x="51"/>
        <item x="45"/>
        <item x="56"/>
        <item x="57"/>
        <item x="38"/>
        <item x="36"/>
        <item x="58"/>
        <item x="40"/>
        <item x="60"/>
        <item x="34"/>
        <item x="53"/>
        <item x="55"/>
        <item x="54"/>
        <item x="48"/>
        <item x="28"/>
        <item x="19"/>
        <item x="37"/>
        <item x="43"/>
        <item x="49"/>
        <item x="41"/>
        <item x="12"/>
        <item x="59"/>
        <item x="63"/>
        <item x="25"/>
        <item x="32"/>
        <item x="29"/>
        <item x="14"/>
        <item x="21"/>
        <item x="50"/>
        <item x="47"/>
        <item x="17"/>
        <item x="42"/>
        <item x="23"/>
        <item x="30"/>
        <item x="26"/>
        <item x="16"/>
        <item x="27"/>
        <item x="11"/>
        <item x="35"/>
        <item x="20"/>
        <item x="10"/>
        <item x="61"/>
        <item x="18"/>
        <item x="7"/>
        <item x="6"/>
        <item x="9"/>
        <item x="15"/>
        <item x="22"/>
        <item x="13"/>
        <item x="8"/>
        <item x="24"/>
        <item x="4"/>
        <item x="5"/>
        <item x="2"/>
        <item x="3"/>
        <item x="0"/>
        <item x="1"/>
        <item t="default"/>
      </items>
    </pivotField>
    <pivotField showAll="0"/>
    <pivotField showAll="0">
      <items count="24">
        <item x="17"/>
        <item x="7"/>
        <item x="18"/>
        <item x="15"/>
        <item x="3"/>
        <item x="13"/>
        <item x="20"/>
        <item x="19"/>
        <item x="9"/>
        <item x="1"/>
        <item x="16"/>
        <item x="11"/>
        <item x="2"/>
        <item x="22"/>
        <item x="14"/>
        <item x="21"/>
        <item x="12"/>
        <item x="10"/>
        <item x="0"/>
        <item x="8"/>
        <item x="4"/>
        <item x="6"/>
        <item x="5"/>
        <item t="default"/>
      </items>
    </pivotField>
    <pivotField dataField="1" showAll="0">
      <items count="97">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items count="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s>
  <rowFields count="1">
    <field x="1"/>
  </rowFields>
  <rowItems count="6">
    <i>
      <x v="40"/>
    </i>
    <i>
      <x v="35"/>
    </i>
    <i>
      <x v="34"/>
    </i>
    <i>
      <x v="26"/>
    </i>
    <i>
      <x v="42"/>
    </i>
    <i t="grand">
      <x/>
    </i>
  </rowItems>
  <colItems count="1">
    <i/>
  </colItems>
  <dataFields count="1">
    <dataField name="Sum of Score" fld="9" baseField="0" baseItem="0" numFmtId="10">
      <extLst>
        <ext xmlns:x14="http://schemas.microsoft.com/office/spreadsheetml/2009/9/main" uri="{E15A36E0-9728-4e99-A89B-3F7291B0FE68}">
          <x14:dataField pivotShowAs="percentOfParentRow"/>
        </ext>
      </extLst>
    </dataField>
  </dataFields>
  <chartFormats count="1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 count="1" selected="0">
            <x v="26"/>
          </reference>
        </references>
      </pivotArea>
    </chartFormat>
    <chartFormat chart="5" format="9">
      <pivotArea type="data" outline="0" fieldPosition="0">
        <references count="2">
          <reference field="4294967294" count="1" selected="0">
            <x v="0"/>
          </reference>
          <reference field="1" count="1" selected="0">
            <x v="34"/>
          </reference>
        </references>
      </pivotArea>
    </chartFormat>
    <chartFormat chart="5" format="10">
      <pivotArea type="data" outline="0" fieldPosition="0">
        <references count="2">
          <reference field="4294967294" count="1" selected="0">
            <x v="0"/>
          </reference>
          <reference field="1" count="1" selected="0">
            <x v="35"/>
          </reference>
        </references>
      </pivotArea>
    </chartFormat>
    <chartFormat chart="5" format="11">
      <pivotArea type="data" outline="0" fieldPosition="0">
        <references count="2">
          <reference field="4294967294" count="1" selected="0">
            <x v="0"/>
          </reference>
          <reference field="1" count="1" selected="0">
            <x v="40"/>
          </reference>
        </references>
      </pivotArea>
    </chartFormat>
    <chartFormat chart="5" format="12">
      <pivotArea type="data" outline="0" fieldPosition="0">
        <references count="2">
          <reference field="4294967294" count="1" selected="0">
            <x v="0"/>
          </reference>
          <reference field="1" count="1" selected="0">
            <x v="42"/>
          </reference>
        </references>
      </pivotArea>
    </chartFormat>
    <chartFormat chart="2" format="6">
      <pivotArea type="data" outline="0" fieldPosition="0">
        <references count="2">
          <reference field="4294967294" count="1" selected="0">
            <x v="0"/>
          </reference>
          <reference field="1" count="1" selected="0">
            <x v="26"/>
          </reference>
        </references>
      </pivotArea>
    </chartFormat>
    <chartFormat chart="2" format="7">
      <pivotArea type="data" outline="0" fieldPosition="0">
        <references count="2">
          <reference field="4294967294" count="1" selected="0">
            <x v="0"/>
          </reference>
          <reference field="1" count="1" selected="0">
            <x v="34"/>
          </reference>
        </references>
      </pivotArea>
    </chartFormat>
    <chartFormat chart="2" format="8">
      <pivotArea type="data" outline="0" fieldPosition="0">
        <references count="2">
          <reference field="4294967294" count="1" selected="0">
            <x v="0"/>
          </reference>
          <reference field="1" count="1" selected="0">
            <x v="35"/>
          </reference>
        </references>
      </pivotArea>
    </chartFormat>
    <chartFormat chart="2" format="9">
      <pivotArea type="data" outline="0" fieldPosition="0">
        <references count="2">
          <reference field="4294967294" count="1" selected="0">
            <x v="0"/>
          </reference>
          <reference field="1" count="1" selected="0">
            <x v="40"/>
          </reference>
        </references>
      </pivotArea>
    </chartFormat>
    <chartFormat chart="2" format="10">
      <pivotArea type="data" outline="0" fieldPosition="0">
        <references count="2">
          <reference field="4294967294" count="1" selected="0">
            <x v="0"/>
          </reference>
          <reference field="1" count="1" selected="0">
            <x v="42"/>
          </reference>
        </references>
      </pivotArea>
    </chartFormat>
  </chartFormats>
  <pivotTableStyleInfo name="PivotStyleLight16" showRowHeaders="1" showColHeaders="1" showRowStripes="0" showColStripes="0" showLastColumn="1"/>
  <filters count="1">
    <filter fld="1"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titute_Name" xr10:uid="{A32C7FFE-3AC7-4FCD-89C1-40795DFA320F}" sourceName="Institute Name">
  <pivotTables>
    <pivotTable tabId="6" name="PivotTable14"/>
    <pivotTable tabId="2" name="PivotTable9"/>
    <pivotTable tabId="3" name="PivotTable10"/>
    <pivotTable tabId="5" name="PivotTable13"/>
  </pivotTables>
  <data>
    <tabular pivotCacheId="587742816">
      <items count="100">
        <i x="56" s="1"/>
        <i x="17" s="1"/>
        <i x="43" s="1"/>
        <i x="11" s="1"/>
        <i x="47" s="1"/>
        <i x="24" s="1"/>
        <i x="9" s="1"/>
        <i x="65" s="1"/>
        <i x="74" s="1"/>
        <i x="21" s="1"/>
        <i x="89" s="1"/>
        <i x="28" s="1"/>
        <i x="10" s="1"/>
        <i x="94" s="1"/>
        <i x="76" s="1"/>
        <i x="64" s="1"/>
        <i x="99" s="1"/>
        <i x="53" s="1"/>
        <i x="77" s="1"/>
        <i x="79" s="1"/>
        <i x="66" s="1"/>
        <i x="61" s="1"/>
        <i x="98" s="1"/>
        <i x="84" s="1"/>
        <i x="35" s="1"/>
        <i x="45" s="1"/>
        <i x="1" s="1"/>
        <i x="49" s="1"/>
        <i x="34" s="1"/>
        <i x="23" s="1"/>
        <i x="39" s="1"/>
        <i x="27" s="1"/>
        <i x="25" s="1"/>
        <i x="57" s="1"/>
        <i x="2" s="1"/>
        <i x="3" s="1"/>
        <i x="32" s="1"/>
        <i x="7" s="1"/>
        <i x="15" s="1"/>
        <i x="29" s="1"/>
        <i x="4" s="1"/>
        <i x="5" s="1"/>
        <i x="0" s="1"/>
        <i x="81" s="1"/>
        <i x="50" s="1"/>
        <i x="6" s="1"/>
        <i x="30" s="1"/>
        <i x="26" s="1"/>
        <i x="13" s="1"/>
        <i x="63" s="1"/>
        <i x="12" s="1"/>
        <i x="8" s="1"/>
        <i x="55" s="1"/>
        <i x="73" s="1"/>
        <i x="38" s="1"/>
        <i x="42" s="1"/>
        <i x="59" s="1"/>
        <i x="68" s="1"/>
        <i x="80" s="1"/>
        <i x="82" s="1"/>
        <i x="51" s="1"/>
        <i x="71" s="1"/>
        <i x="14" s="1"/>
        <i x="87" s="1"/>
        <i x="95" s="1"/>
        <i x="33" s="1"/>
        <i x="70" s="1"/>
        <i x="31" s="1"/>
        <i x="40" s="1"/>
        <i x="92" s="1"/>
        <i x="22" s="1"/>
        <i x="58" s="1"/>
        <i x="90" s="1"/>
        <i x="62" s="1"/>
        <i x="37" s="1"/>
        <i x="86" s="1"/>
        <i x="85" s="1"/>
        <i x="52" s="1"/>
        <i x="97" s="1"/>
        <i x="60" s="1"/>
        <i x="48" s="1"/>
        <i x="19" s="1"/>
        <i x="41" s="1"/>
        <i x="83" s="1"/>
        <i x="36" s="1"/>
        <i x="78" s="1"/>
        <i x="88" s="1"/>
        <i x="91" s="1"/>
        <i x="93" s="1"/>
        <i x="67" s="1"/>
        <i x="69" s="1"/>
        <i x="72" s="1"/>
        <i x="44" s="1"/>
        <i x="18" s="1"/>
        <i x="16" s="1"/>
        <i x="75" s="1"/>
        <i x="46" s="1"/>
        <i x="20" s="1"/>
        <i x="96" s="1"/>
        <i x="5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BBD7870-9F8C-4050-BC51-FD2E3B90420A}" sourceName="State">
  <pivotTables>
    <pivotTable tabId="6" name="PivotTable14"/>
    <pivotTable tabId="2" name="PivotTable9"/>
    <pivotTable tabId="3" name="PivotTable10"/>
    <pivotTable tabId="5" name="PivotTable13"/>
  </pivotTables>
  <data>
    <tabular pivotCacheId="587742816">
      <items count="23">
        <i x="17" s="1"/>
        <i x="7" s="1"/>
        <i x="18" s="1"/>
        <i x="15" s="1"/>
        <i x="3" s="1"/>
        <i x="13" s="1"/>
        <i x="20" s="1"/>
        <i x="19" s="1"/>
        <i x="9" s="1"/>
        <i x="1" s="1"/>
        <i x="16" s="1"/>
        <i x="11" s="1"/>
        <i x="2" s="1"/>
        <i x="22" s="1"/>
        <i x="14" s="1"/>
        <i x="21" s="1"/>
        <i x="12" s="1"/>
        <i x="10" s="1"/>
        <i x="0" s="1"/>
        <i x="8" s="1"/>
        <i x="4"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stitute Name" xr10:uid="{776B09E7-F170-49B8-8B57-1CA164B748B3}" cache="Slicer_Institute_Name" caption="Institute Name" startItem="72" columnCount="2" rowHeight="251883"/>
  <slicer name="State" xr10:uid="{24AE4B78-3C1F-4C3D-BF17-C3F49CCDBF99}" cache="Slicer_State" caption="State" startItem="10" columnCoun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CED25FA-A825-4290-8BA3-5C4EE118B99E}" name="Table1" displayName="Table1" ref="A1:K101" totalsRowShown="0">
  <autoFilter ref="A1:K101" xr:uid="{BCED25FA-A825-4290-8BA3-5C4EE118B99E}"/>
  <tableColumns count="11">
    <tableColumn id="1" xr3:uid="{F3CFDB32-8B63-4EDF-A6B1-9B79346C52D5}" name="Institute ID"/>
    <tableColumn id="2" xr3:uid="{8769410E-0D2E-4F58-B6DF-404D9A0D12F8}" name="Institute Name"/>
    <tableColumn id="3" xr3:uid="{B0228223-4442-4B99-8D25-81555E0476B6}" name="TLR"/>
    <tableColumn id="4" xr3:uid="{52B8B293-7480-4BA1-8003-E462C2CD2CA2}" name="RPC"/>
    <tableColumn id="5" xr3:uid="{9CC4868E-54F0-4095-BD65-F7E6E5E19D7D}" name="GO"/>
    <tableColumn id="6" xr3:uid="{DBEEDA91-ED12-40EE-85E7-65B0F401D388}" name="OI"/>
    <tableColumn id="7" xr3:uid="{67CCB89E-C88D-4CED-81CF-6064231C2284}" name="PERCEPTION"/>
    <tableColumn id="8" xr3:uid="{628B0088-0898-48D2-864E-0B2C37768456}" name="City"/>
    <tableColumn id="9" xr3:uid="{B82E9D1A-E99B-4F92-8DE6-CC5A7B218265}" name="State"/>
    <tableColumn id="10" xr3:uid="{A1A51E0F-65C4-4710-88D1-67C7F2327B2C}" name="Score"/>
    <tableColumn id="11" xr3:uid="{C9895685-2361-4639-A992-DBB5A751B4B7}" name="Ra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E552A-1CB4-499A-8550-AC5B3E7B2E3F}">
  <dimension ref="A3:B19"/>
  <sheetViews>
    <sheetView workbookViewId="0">
      <selection activeCell="AS16" sqref="AS16"/>
    </sheetView>
  </sheetViews>
  <sheetFormatPr defaultRowHeight="14.5" x14ac:dyDescent="0.35"/>
  <cols>
    <col min="1" max="1" width="33.1796875" bestFit="1" customWidth="1"/>
    <col min="2" max="2" width="11.26953125" bestFit="1" customWidth="1"/>
    <col min="3" max="10" width="1.81640625" bestFit="1" customWidth="1"/>
    <col min="11" max="96" width="2.81640625" bestFit="1" customWidth="1"/>
    <col min="97" max="97" width="3.81640625" bestFit="1" customWidth="1"/>
    <col min="98" max="98" width="10.36328125" bestFit="1" customWidth="1"/>
  </cols>
  <sheetData>
    <row r="3" spans="1:2" x14ac:dyDescent="0.35">
      <c r="A3" s="1" t="s">
        <v>300</v>
      </c>
      <c r="B3" t="s">
        <v>302</v>
      </c>
    </row>
    <row r="4" spans="1:2" x14ac:dyDescent="0.35">
      <c r="A4" s="2" t="s">
        <v>12</v>
      </c>
      <c r="B4" s="4">
        <v>1</v>
      </c>
    </row>
    <row r="5" spans="1:2" x14ac:dyDescent="0.35">
      <c r="A5" s="2" t="s">
        <v>16</v>
      </c>
      <c r="B5" s="4">
        <v>2</v>
      </c>
    </row>
    <row r="6" spans="1:2" x14ac:dyDescent="0.35">
      <c r="A6" s="2" t="s">
        <v>20</v>
      </c>
      <c r="B6" s="4">
        <v>3</v>
      </c>
    </row>
    <row r="7" spans="1:2" x14ac:dyDescent="0.35">
      <c r="A7" s="2" t="s">
        <v>24</v>
      </c>
      <c r="B7" s="4">
        <v>4</v>
      </c>
    </row>
    <row r="8" spans="1:2" x14ac:dyDescent="0.35">
      <c r="A8" s="2" t="s">
        <v>28</v>
      </c>
      <c r="B8" s="4">
        <v>5</v>
      </c>
    </row>
    <row r="9" spans="1:2" x14ac:dyDescent="0.35">
      <c r="A9" s="2" t="s">
        <v>32</v>
      </c>
      <c r="B9" s="4">
        <v>6</v>
      </c>
    </row>
    <row r="10" spans="1:2" x14ac:dyDescent="0.35">
      <c r="A10" s="2" t="s">
        <v>36</v>
      </c>
      <c r="B10" s="4">
        <v>7</v>
      </c>
    </row>
    <row r="11" spans="1:2" x14ac:dyDescent="0.35">
      <c r="A11" s="2" t="s">
        <v>40</v>
      </c>
      <c r="B11" s="4">
        <v>8</v>
      </c>
    </row>
    <row r="12" spans="1:2" x14ac:dyDescent="0.35">
      <c r="A12" s="2" t="s">
        <v>44</v>
      </c>
      <c r="B12" s="4">
        <v>9</v>
      </c>
    </row>
    <row r="13" spans="1:2" x14ac:dyDescent="0.35">
      <c r="A13" s="2" t="s">
        <v>46</v>
      </c>
      <c r="B13" s="4">
        <v>10</v>
      </c>
    </row>
    <row r="14" spans="1:2" x14ac:dyDescent="0.35">
      <c r="A14" s="2" t="s">
        <v>49</v>
      </c>
      <c r="B14" s="4">
        <v>11</v>
      </c>
    </row>
    <row r="15" spans="1:2" x14ac:dyDescent="0.35">
      <c r="A15" s="2" t="s">
        <v>52</v>
      </c>
      <c r="B15" s="4">
        <v>12</v>
      </c>
    </row>
    <row r="16" spans="1:2" x14ac:dyDescent="0.35">
      <c r="A16" s="2" t="s">
        <v>55</v>
      </c>
      <c r="B16" s="4">
        <v>13</v>
      </c>
    </row>
    <row r="17" spans="1:2" x14ac:dyDescent="0.35">
      <c r="A17" s="2" t="s">
        <v>57</v>
      </c>
      <c r="B17" s="4">
        <v>14</v>
      </c>
    </row>
    <row r="18" spans="1:2" x14ac:dyDescent="0.35">
      <c r="A18" s="2" t="s">
        <v>59</v>
      </c>
      <c r="B18" s="4">
        <v>15</v>
      </c>
    </row>
    <row r="19" spans="1:2" x14ac:dyDescent="0.35">
      <c r="A19" s="2" t="s">
        <v>301</v>
      </c>
      <c r="B19" s="4">
        <v>120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666F-EF28-4E7D-BCD4-69061051DBC7}">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568AF-D4C1-4F3E-A2B7-3A919ADAF80A}">
  <dimension ref="A3:B15"/>
  <sheetViews>
    <sheetView workbookViewId="0">
      <selection activeCell="L6" sqref="L6"/>
    </sheetView>
  </sheetViews>
  <sheetFormatPr defaultRowHeight="14.5" x14ac:dyDescent="0.35"/>
  <cols>
    <col min="1" max="1" width="35.36328125" bestFit="1" customWidth="1"/>
    <col min="2" max="2" width="10" bestFit="1" customWidth="1"/>
    <col min="3" max="3" width="10.54296875" bestFit="1" customWidth="1"/>
    <col min="4" max="4" width="9.54296875" bestFit="1" customWidth="1"/>
    <col min="5" max="5" width="8.81640625" bestFit="1" customWidth="1"/>
    <col min="6" max="6" width="10.54296875" bestFit="1" customWidth="1"/>
    <col min="7" max="7" width="9.54296875" bestFit="1" customWidth="1"/>
    <col min="8" max="8" width="10" bestFit="1" customWidth="1"/>
    <col min="9" max="9" width="10.54296875" bestFit="1" customWidth="1"/>
    <col min="10" max="10" width="9.54296875" bestFit="1" customWidth="1"/>
    <col min="11" max="11" width="10" bestFit="1" customWidth="1"/>
    <col min="12" max="12" width="10.54296875" bestFit="1" customWidth="1"/>
    <col min="13" max="13" width="9.54296875" bestFit="1" customWidth="1"/>
    <col min="14" max="14" width="10" bestFit="1" customWidth="1"/>
    <col min="15" max="15" width="10.54296875" bestFit="1" customWidth="1"/>
    <col min="16" max="16" width="9.54296875" bestFit="1" customWidth="1"/>
    <col min="17" max="17" width="10" bestFit="1" customWidth="1"/>
    <col min="18" max="18" width="10.54296875" bestFit="1" customWidth="1"/>
    <col min="19" max="19" width="9.54296875" bestFit="1" customWidth="1"/>
    <col min="20" max="20" width="10" bestFit="1" customWidth="1"/>
    <col min="21" max="21" width="10.54296875" bestFit="1" customWidth="1"/>
    <col min="22" max="22" width="9.54296875" bestFit="1" customWidth="1"/>
    <col min="23" max="23" width="10" bestFit="1" customWidth="1"/>
    <col min="24" max="24" width="10.54296875" bestFit="1" customWidth="1"/>
    <col min="25" max="25" width="9.54296875" bestFit="1" customWidth="1"/>
    <col min="26" max="26" width="10" bestFit="1" customWidth="1"/>
    <col min="27" max="27" width="10.54296875" bestFit="1" customWidth="1"/>
    <col min="28" max="28" width="9.54296875" bestFit="1" customWidth="1"/>
    <col min="29" max="29" width="10" bestFit="1" customWidth="1"/>
    <col min="30" max="30" width="10.54296875" bestFit="1" customWidth="1"/>
    <col min="31" max="31" width="9.54296875" bestFit="1" customWidth="1"/>
    <col min="32" max="32" width="10" bestFit="1" customWidth="1"/>
    <col min="33" max="33" width="10.54296875" bestFit="1" customWidth="1"/>
    <col min="34" max="34" width="9.54296875" bestFit="1" customWidth="1"/>
    <col min="35" max="35" width="10" bestFit="1" customWidth="1"/>
    <col min="36" max="36" width="10.54296875" bestFit="1" customWidth="1"/>
    <col min="37" max="37" width="9.54296875" bestFit="1" customWidth="1"/>
    <col min="38" max="38" width="10" bestFit="1" customWidth="1"/>
    <col min="39" max="39" width="10.54296875" bestFit="1" customWidth="1"/>
    <col min="40" max="40" width="9.54296875" bestFit="1" customWidth="1"/>
    <col min="41" max="41" width="10" bestFit="1" customWidth="1"/>
    <col min="42" max="42" width="10.54296875" bestFit="1" customWidth="1"/>
    <col min="43" max="43" width="9.54296875" bestFit="1" customWidth="1"/>
    <col min="44" max="44" width="10" bestFit="1" customWidth="1"/>
    <col min="45" max="45" width="10.54296875" bestFit="1" customWidth="1"/>
    <col min="46" max="46" width="9.54296875" bestFit="1" customWidth="1"/>
    <col min="47" max="47" width="10" bestFit="1" customWidth="1"/>
    <col min="48" max="48" width="10.54296875" bestFit="1" customWidth="1"/>
    <col min="49" max="49" width="9.54296875" bestFit="1" customWidth="1"/>
    <col min="50" max="50" width="10" bestFit="1" customWidth="1"/>
    <col min="51" max="51" width="10.54296875" bestFit="1" customWidth="1"/>
    <col min="52" max="52" width="9.54296875" bestFit="1" customWidth="1"/>
    <col min="53" max="53" width="10" bestFit="1" customWidth="1"/>
    <col min="54" max="54" width="10.54296875" bestFit="1" customWidth="1"/>
    <col min="55" max="55" width="9.54296875" bestFit="1" customWidth="1"/>
    <col min="56" max="56" width="10" bestFit="1" customWidth="1"/>
    <col min="57" max="57" width="10.54296875" bestFit="1" customWidth="1"/>
    <col min="58" max="58" width="9.54296875" bestFit="1" customWidth="1"/>
    <col min="59" max="59" width="10" bestFit="1" customWidth="1"/>
    <col min="60" max="60" width="10.54296875" bestFit="1" customWidth="1"/>
    <col min="61" max="61" width="9.54296875" bestFit="1" customWidth="1"/>
    <col min="62" max="62" width="10" bestFit="1" customWidth="1"/>
    <col min="63" max="63" width="10.54296875" bestFit="1" customWidth="1"/>
    <col min="64" max="64" width="9.54296875" bestFit="1" customWidth="1"/>
    <col min="65" max="65" width="10" bestFit="1" customWidth="1"/>
    <col min="66" max="66" width="10.54296875" bestFit="1" customWidth="1"/>
    <col min="67" max="67" width="9.54296875" bestFit="1" customWidth="1"/>
    <col min="68" max="68" width="10" bestFit="1" customWidth="1"/>
    <col min="69" max="69" width="10.54296875" bestFit="1" customWidth="1"/>
    <col min="70" max="70" width="9.54296875" bestFit="1" customWidth="1"/>
    <col min="71" max="71" width="10" bestFit="1" customWidth="1"/>
    <col min="72" max="72" width="10.54296875" bestFit="1" customWidth="1"/>
    <col min="73" max="73" width="9.54296875" bestFit="1" customWidth="1"/>
    <col min="74" max="74" width="10" bestFit="1" customWidth="1"/>
    <col min="75" max="75" width="10.54296875" bestFit="1" customWidth="1"/>
    <col min="76" max="76" width="9.54296875" bestFit="1" customWidth="1"/>
    <col min="77" max="77" width="10" bestFit="1" customWidth="1"/>
    <col min="78" max="78" width="10.54296875" bestFit="1" customWidth="1"/>
    <col min="79" max="79" width="9.54296875" bestFit="1" customWidth="1"/>
    <col min="80" max="80" width="10" bestFit="1" customWidth="1"/>
    <col min="81" max="81" width="10.54296875" bestFit="1" customWidth="1"/>
    <col min="82" max="82" width="9.54296875" bestFit="1" customWidth="1"/>
    <col min="83" max="83" width="10" bestFit="1" customWidth="1"/>
    <col min="84" max="84" width="10.54296875" bestFit="1" customWidth="1"/>
    <col min="85" max="85" width="9.54296875" bestFit="1" customWidth="1"/>
    <col min="86" max="86" width="10" bestFit="1" customWidth="1"/>
    <col min="87" max="87" width="10.54296875" bestFit="1" customWidth="1"/>
    <col min="88" max="88" width="9.54296875" bestFit="1" customWidth="1"/>
    <col min="89" max="89" width="10" bestFit="1" customWidth="1"/>
    <col min="90" max="90" width="10.54296875" bestFit="1" customWidth="1"/>
    <col min="91" max="91" width="9.54296875" bestFit="1" customWidth="1"/>
    <col min="92" max="92" width="10" bestFit="1" customWidth="1"/>
    <col min="93" max="93" width="10.54296875" bestFit="1" customWidth="1"/>
    <col min="94" max="94" width="9.54296875" bestFit="1" customWidth="1"/>
    <col min="95" max="95" width="10" bestFit="1" customWidth="1"/>
    <col min="96" max="96" width="10.54296875" bestFit="1" customWidth="1"/>
    <col min="97" max="97" width="9.54296875" bestFit="1" customWidth="1"/>
    <col min="98" max="98" width="10" bestFit="1" customWidth="1"/>
    <col min="99" max="99" width="10.54296875" bestFit="1" customWidth="1"/>
    <col min="100" max="100" width="9.54296875" bestFit="1" customWidth="1"/>
    <col min="101" max="101" width="10" bestFit="1" customWidth="1"/>
    <col min="102" max="102" width="10.54296875" bestFit="1" customWidth="1"/>
    <col min="103" max="103" width="9.54296875" bestFit="1" customWidth="1"/>
    <col min="104" max="104" width="10" bestFit="1" customWidth="1"/>
    <col min="105" max="105" width="10.54296875" bestFit="1" customWidth="1"/>
    <col min="106" max="106" width="9.54296875" bestFit="1" customWidth="1"/>
    <col min="107" max="107" width="10" bestFit="1" customWidth="1"/>
    <col min="108" max="108" width="10.54296875" bestFit="1" customWidth="1"/>
    <col min="109" max="109" width="9.54296875" bestFit="1" customWidth="1"/>
    <col min="110" max="110" width="10" bestFit="1" customWidth="1"/>
    <col min="111" max="111" width="10.54296875" bestFit="1" customWidth="1"/>
    <col min="112" max="112" width="9.54296875" bestFit="1" customWidth="1"/>
    <col min="113" max="113" width="10" bestFit="1" customWidth="1"/>
    <col min="114" max="114" width="10.54296875" bestFit="1" customWidth="1"/>
    <col min="115" max="115" width="9.54296875" bestFit="1" customWidth="1"/>
    <col min="116" max="116" width="10" bestFit="1" customWidth="1"/>
    <col min="117" max="117" width="10.54296875" bestFit="1" customWidth="1"/>
    <col min="118" max="118" width="9.54296875" bestFit="1" customWidth="1"/>
    <col min="119" max="119" width="10" bestFit="1" customWidth="1"/>
    <col min="120" max="120" width="10.54296875" bestFit="1" customWidth="1"/>
    <col min="121" max="121" width="9.54296875" bestFit="1" customWidth="1"/>
    <col min="122" max="122" width="10" bestFit="1" customWidth="1"/>
    <col min="123" max="123" width="10.54296875" bestFit="1" customWidth="1"/>
    <col min="124" max="124" width="9.54296875" bestFit="1" customWidth="1"/>
    <col min="125" max="125" width="10" bestFit="1" customWidth="1"/>
    <col min="126" max="126" width="10.54296875" bestFit="1" customWidth="1"/>
    <col min="127" max="127" width="9.54296875" bestFit="1" customWidth="1"/>
    <col min="128" max="128" width="10" bestFit="1" customWidth="1"/>
    <col min="129" max="129" width="10.54296875" bestFit="1" customWidth="1"/>
    <col min="130" max="130" width="9.54296875" bestFit="1" customWidth="1"/>
    <col min="131" max="131" width="10" bestFit="1" customWidth="1"/>
    <col min="132" max="132" width="10.54296875" bestFit="1" customWidth="1"/>
    <col min="133" max="133" width="9.54296875" bestFit="1" customWidth="1"/>
    <col min="134" max="134" width="10" bestFit="1" customWidth="1"/>
    <col min="135" max="135" width="10.54296875" bestFit="1" customWidth="1"/>
    <col min="136" max="136" width="9.54296875" bestFit="1" customWidth="1"/>
    <col min="137" max="137" width="10" bestFit="1" customWidth="1"/>
    <col min="138" max="138" width="10.54296875" bestFit="1" customWidth="1"/>
    <col min="139" max="139" width="9.54296875" bestFit="1" customWidth="1"/>
    <col min="140" max="140" width="10" bestFit="1" customWidth="1"/>
    <col min="141" max="141" width="10.54296875" bestFit="1" customWidth="1"/>
    <col min="142" max="142" width="9.54296875" bestFit="1" customWidth="1"/>
    <col min="143" max="143" width="10" bestFit="1" customWidth="1"/>
    <col min="144" max="144" width="10.54296875" bestFit="1" customWidth="1"/>
    <col min="145" max="145" width="9.54296875" bestFit="1" customWidth="1"/>
    <col min="146" max="146" width="10" bestFit="1" customWidth="1"/>
    <col min="147" max="147" width="10.54296875" bestFit="1" customWidth="1"/>
    <col min="148" max="148" width="9.54296875" bestFit="1" customWidth="1"/>
    <col min="149" max="149" width="10" bestFit="1" customWidth="1"/>
    <col min="150" max="150" width="10.54296875" bestFit="1" customWidth="1"/>
    <col min="151" max="151" width="9.54296875" bestFit="1" customWidth="1"/>
    <col min="152" max="152" width="10" bestFit="1" customWidth="1"/>
    <col min="153" max="153" width="10.54296875" bestFit="1" customWidth="1"/>
    <col min="154" max="154" width="9.54296875" bestFit="1" customWidth="1"/>
    <col min="155" max="155" width="10" bestFit="1" customWidth="1"/>
    <col min="156" max="156" width="10.54296875" bestFit="1" customWidth="1"/>
    <col min="157" max="157" width="9.54296875" bestFit="1" customWidth="1"/>
    <col min="158" max="158" width="10" bestFit="1" customWidth="1"/>
    <col min="159" max="159" width="10.54296875" bestFit="1" customWidth="1"/>
    <col min="160" max="160" width="9.54296875" bestFit="1" customWidth="1"/>
    <col min="161" max="161" width="10" bestFit="1" customWidth="1"/>
    <col min="162" max="162" width="10.54296875" bestFit="1" customWidth="1"/>
    <col min="163" max="163" width="9.54296875" bestFit="1" customWidth="1"/>
    <col min="164" max="164" width="10" bestFit="1" customWidth="1"/>
    <col min="165" max="165" width="10.54296875" bestFit="1" customWidth="1"/>
    <col min="166" max="166" width="9.54296875" bestFit="1" customWidth="1"/>
    <col min="167" max="167" width="10" bestFit="1" customWidth="1"/>
    <col min="168" max="168" width="10.54296875" bestFit="1" customWidth="1"/>
    <col min="169" max="169" width="9.54296875" bestFit="1" customWidth="1"/>
    <col min="170" max="170" width="10" bestFit="1" customWidth="1"/>
    <col min="171" max="171" width="10.54296875" bestFit="1" customWidth="1"/>
    <col min="172" max="172" width="9.54296875" bestFit="1" customWidth="1"/>
    <col min="173" max="173" width="10" bestFit="1" customWidth="1"/>
    <col min="174" max="174" width="10.54296875" bestFit="1" customWidth="1"/>
    <col min="175" max="175" width="9.54296875" bestFit="1" customWidth="1"/>
    <col min="176" max="176" width="10" bestFit="1" customWidth="1"/>
    <col min="177" max="177" width="10.54296875" bestFit="1" customWidth="1"/>
    <col min="178" max="178" width="9.54296875" bestFit="1" customWidth="1"/>
    <col min="179" max="179" width="10" bestFit="1" customWidth="1"/>
    <col min="180" max="180" width="10.54296875" bestFit="1" customWidth="1"/>
    <col min="181" max="181" width="9.54296875" bestFit="1" customWidth="1"/>
    <col min="182" max="182" width="10" bestFit="1" customWidth="1"/>
    <col min="183" max="183" width="10.54296875" bestFit="1" customWidth="1"/>
    <col min="184" max="184" width="9.54296875" bestFit="1" customWidth="1"/>
    <col min="185" max="185" width="10" bestFit="1" customWidth="1"/>
    <col min="186" max="186" width="10.54296875" bestFit="1" customWidth="1"/>
    <col min="187" max="187" width="9.54296875" bestFit="1" customWidth="1"/>
    <col min="188" max="188" width="10" bestFit="1" customWidth="1"/>
    <col min="189" max="189" width="10.54296875" bestFit="1" customWidth="1"/>
    <col min="190" max="190" width="9.54296875" bestFit="1" customWidth="1"/>
    <col min="191" max="191" width="10" bestFit="1" customWidth="1"/>
    <col min="192" max="192" width="10.54296875" bestFit="1" customWidth="1"/>
    <col min="193" max="193" width="9.54296875" bestFit="1" customWidth="1"/>
    <col min="194" max="194" width="10" bestFit="1" customWidth="1"/>
    <col min="195" max="195" width="10.54296875" bestFit="1" customWidth="1"/>
    <col min="196" max="196" width="9.54296875" bestFit="1" customWidth="1"/>
    <col min="197" max="197" width="10" bestFit="1" customWidth="1"/>
    <col min="198" max="198" width="10.54296875" bestFit="1" customWidth="1"/>
    <col min="199" max="199" width="9.54296875" bestFit="1" customWidth="1"/>
    <col min="200" max="200" width="10" bestFit="1" customWidth="1"/>
    <col min="201" max="201" width="10.54296875" bestFit="1" customWidth="1"/>
    <col min="202" max="202" width="9.54296875" bestFit="1" customWidth="1"/>
    <col min="203" max="203" width="10" bestFit="1" customWidth="1"/>
    <col min="204" max="204" width="10.54296875" bestFit="1" customWidth="1"/>
    <col min="205" max="205" width="9.54296875" bestFit="1" customWidth="1"/>
    <col min="206" max="206" width="10" bestFit="1" customWidth="1"/>
    <col min="207" max="207" width="10.54296875" bestFit="1" customWidth="1"/>
    <col min="208" max="208" width="9.54296875" bestFit="1" customWidth="1"/>
    <col min="209" max="209" width="10" bestFit="1" customWidth="1"/>
    <col min="210" max="210" width="10.54296875" bestFit="1" customWidth="1"/>
    <col min="211" max="211" width="9.54296875" bestFit="1" customWidth="1"/>
    <col min="212" max="212" width="10" bestFit="1" customWidth="1"/>
    <col min="213" max="213" width="10.54296875" bestFit="1" customWidth="1"/>
    <col min="214" max="214" width="9.54296875" bestFit="1" customWidth="1"/>
    <col min="215" max="215" width="10" bestFit="1" customWidth="1"/>
    <col min="216" max="216" width="10.54296875" bestFit="1" customWidth="1"/>
    <col min="217" max="217" width="9.54296875" bestFit="1" customWidth="1"/>
    <col min="218" max="218" width="10" bestFit="1" customWidth="1"/>
    <col min="219" max="219" width="10.54296875" bestFit="1" customWidth="1"/>
    <col min="220" max="220" width="9.54296875" bestFit="1" customWidth="1"/>
    <col min="221" max="221" width="10" bestFit="1" customWidth="1"/>
    <col min="222" max="222" width="10.54296875" bestFit="1" customWidth="1"/>
    <col min="223" max="223" width="9.54296875" bestFit="1" customWidth="1"/>
    <col min="224" max="224" width="10" bestFit="1" customWidth="1"/>
    <col min="225" max="225" width="10.54296875" bestFit="1" customWidth="1"/>
    <col min="226" max="226" width="9.54296875" bestFit="1" customWidth="1"/>
    <col min="227" max="227" width="10" bestFit="1" customWidth="1"/>
    <col min="228" max="228" width="10.54296875" bestFit="1" customWidth="1"/>
    <col min="229" max="229" width="9.54296875" bestFit="1" customWidth="1"/>
    <col min="230" max="230" width="10" bestFit="1" customWidth="1"/>
    <col min="231" max="231" width="10.54296875" bestFit="1" customWidth="1"/>
    <col min="232" max="232" width="9.54296875" bestFit="1" customWidth="1"/>
    <col min="233" max="233" width="10" bestFit="1" customWidth="1"/>
    <col min="234" max="234" width="10.54296875" bestFit="1" customWidth="1"/>
    <col min="235" max="235" width="9.54296875" bestFit="1" customWidth="1"/>
    <col min="236" max="236" width="10" bestFit="1" customWidth="1"/>
    <col min="237" max="237" width="10.54296875" bestFit="1" customWidth="1"/>
    <col min="238" max="238" width="9.54296875" bestFit="1" customWidth="1"/>
    <col min="239" max="239" width="10" bestFit="1" customWidth="1"/>
    <col min="240" max="240" width="10.54296875" bestFit="1" customWidth="1"/>
    <col min="241" max="241" width="9.54296875" bestFit="1" customWidth="1"/>
    <col min="242" max="242" width="10" bestFit="1" customWidth="1"/>
    <col min="243" max="243" width="10.54296875" bestFit="1" customWidth="1"/>
    <col min="244" max="244" width="9.54296875" bestFit="1" customWidth="1"/>
    <col min="245" max="245" width="10" bestFit="1" customWidth="1"/>
    <col min="246" max="246" width="10.54296875" bestFit="1" customWidth="1"/>
    <col min="247" max="247" width="9.54296875" bestFit="1" customWidth="1"/>
    <col min="248" max="248" width="10" bestFit="1" customWidth="1"/>
    <col min="249" max="249" width="10.54296875" bestFit="1" customWidth="1"/>
    <col min="250" max="250" width="9.54296875" bestFit="1" customWidth="1"/>
    <col min="251" max="251" width="10" bestFit="1" customWidth="1"/>
    <col min="252" max="252" width="10.54296875" bestFit="1" customWidth="1"/>
    <col min="253" max="253" width="9.54296875" bestFit="1" customWidth="1"/>
    <col min="254" max="254" width="10" bestFit="1" customWidth="1"/>
    <col min="255" max="255" width="10.54296875" bestFit="1" customWidth="1"/>
    <col min="256" max="256" width="9.54296875" bestFit="1" customWidth="1"/>
    <col min="257" max="257" width="10" bestFit="1" customWidth="1"/>
    <col min="258" max="258" width="10.54296875" bestFit="1" customWidth="1"/>
    <col min="259" max="259" width="9.54296875" bestFit="1" customWidth="1"/>
    <col min="260" max="260" width="10" bestFit="1" customWidth="1"/>
    <col min="261" max="261" width="10.54296875" bestFit="1" customWidth="1"/>
    <col min="262" max="262" width="9.54296875" bestFit="1" customWidth="1"/>
    <col min="263" max="263" width="10" bestFit="1" customWidth="1"/>
    <col min="264" max="264" width="10.54296875" bestFit="1" customWidth="1"/>
    <col min="265" max="265" width="9.54296875" bestFit="1" customWidth="1"/>
    <col min="266" max="266" width="10" bestFit="1" customWidth="1"/>
    <col min="267" max="267" width="10.54296875" bestFit="1" customWidth="1"/>
    <col min="268" max="268" width="9.54296875" bestFit="1" customWidth="1"/>
    <col min="269" max="269" width="10" bestFit="1" customWidth="1"/>
    <col min="270" max="270" width="10.54296875" bestFit="1" customWidth="1"/>
    <col min="271" max="271" width="9.54296875" bestFit="1" customWidth="1"/>
    <col min="272" max="272" width="10" bestFit="1" customWidth="1"/>
    <col min="273" max="273" width="10.54296875" bestFit="1" customWidth="1"/>
    <col min="274" max="274" width="9.54296875" bestFit="1" customWidth="1"/>
    <col min="275" max="275" width="10" bestFit="1" customWidth="1"/>
    <col min="276" max="276" width="10.54296875" bestFit="1" customWidth="1"/>
    <col min="277" max="277" width="9.54296875" bestFit="1" customWidth="1"/>
    <col min="278" max="278" width="10" bestFit="1" customWidth="1"/>
    <col min="279" max="279" width="10.54296875" bestFit="1" customWidth="1"/>
    <col min="280" max="280" width="9.54296875" bestFit="1" customWidth="1"/>
    <col min="281" max="281" width="10" bestFit="1" customWidth="1"/>
    <col min="282" max="282" width="10.54296875" bestFit="1" customWidth="1"/>
    <col min="283" max="283" width="9.54296875" bestFit="1" customWidth="1"/>
    <col min="284" max="284" width="10" bestFit="1" customWidth="1"/>
    <col min="285" max="285" width="10.54296875" bestFit="1" customWidth="1"/>
    <col min="286" max="286" width="9.54296875" bestFit="1" customWidth="1"/>
    <col min="287" max="287" width="10" bestFit="1" customWidth="1"/>
    <col min="288" max="288" width="10.54296875" bestFit="1" customWidth="1"/>
    <col min="289" max="289" width="9.54296875" bestFit="1" customWidth="1"/>
    <col min="290" max="290" width="10" bestFit="1" customWidth="1"/>
    <col min="291" max="291" width="10.54296875" bestFit="1" customWidth="1"/>
    <col min="292" max="292" width="9.54296875" bestFit="1" customWidth="1"/>
    <col min="293" max="293" width="10" bestFit="1" customWidth="1"/>
    <col min="294" max="294" width="10.54296875" bestFit="1" customWidth="1"/>
    <col min="295" max="295" width="9.54296875" bestFit="1" customWidth="1"/>
    <col min="296" max="296" width="10" bestFit="1" customWidth="1"/>
    <col min="297" max="297" width="10.54296875" bestFit="1" customWidth="1"/>
    <col min="298" max="298" width="9.54296875" bestFit="1" customWidth="1"/>
    <col min="299" max="299" width="14.54296875" bestFit="1" customWidth="1"/>
    <col min="300" max="300" width="15.08984375" bestFit="1" customWidth="1"/>
    <col min="301" max="301" width="14.08984375" bestFit="1" customWidth="1"/>
    <col min="302" max="302" width="10" bestFit="1" customWidth="1"/>
    <col min="303" max="303" width="10.54296875" bestFit="1" customWidth="1"/>
    <col min="304" max="304" width="15" bestFit="1" customWidth="1"/>
    <col min="305" max="305" width="15.54296875" bestFit="1" customWidth="1"/>
    <col min="306" max="306" width="10" bestFit="1" customWidth="1"/>
    <col min="307" max="307" width="10.54296875" bestFit="1" customWidth="1"/>
    <col min="308" max="308" width="15" bestFit="1" customWidth="1"/>
    <col min="309" max="309" width="15.54296875" bestFit="1" customWidth="1"/>
    <col min="310" max="310" width="10" bestFit="1" customWidth="1"/>
    <col min="311" max="311" width="10.54296875" bestFit="1" customWidth="1"/>
    <col min="312" max="312" width="15" bestFit="1" customWidth="1"/>
    <col min="313" max="313" width="15.54296875" bestFit="1" customWidth="1"/>
    <col min="314" max="314" width="10" bestFit="1" customWidth="1"/>
    <col min="315" max="315" width="10.54296875" bestFit="1" customWidth="1"/>
    <col min="316" max="316" width="15" bestFit="1" customWidth="1"/>
    <col min="317" max="317" width="15.54296875" bestFit="1" customWidth="1"/>
    <col min="318" max="318" width="10" bestFit="1" customWidth="1"/>
    <col min="319" max="319" width="10.54296875" bestFit="1" customWidth="1"/>
    <col min="320" max="320" width="15" bestFit="1" customWidth="1"/>
    <col min="321" max="321" width="15.54296875" bestFit="1" customWidth="1"/>
    <col min="322" max="322" width="10" bestFit="1" customWidth="1"/>
    <col min="323" max="323" width="10.54296875" bestFit="1" customWidth="1"/>
    <col min="324" max="324" width="15" bestFit="1" customWidth="1"/>
    <col min="325" max="325" width="15.54296875" bestFit="1" customWidth="1"/>
    <col min="326" max="326" width="10" bestFit="1" customWidth="1"/>
    <col min="327" max="327" width="10.54296875" bestFit="1" customWidth="1"/>
    <col min="328" max="328" width="15" bestFit="1" customWidth="1"/>
    <col min="329" max="329" width="15.54296875" bestFit="1" customWidth="1"/>
    <col min="330" max="330" width="10" bestFit="1" customWidth="1"/>
    <col min="331" max="331" width="10.54296875" bestFit="1" customWidth="1"/>
    <col min="332" max="332" width="15" bestFit="1" customWidth="1"/>
    <col min="333" max="333" width="15.54296875" bestFit="1" customWidth="1"/>
    <col min="334" max="334" width="10" bestFit="1" customWidth="1"/>
    <col min="335" max="335" width="10.54296875" bestFit="1" customWidth="1"/>
    <col min="336" max="336" width="15" bestFit="1" customWidth="1"/>
    <col min="337" max="337" width="15.54296875" bestFit="1" customWidth="1"/>
    <col min="338" max="338" width="10" bestFit="1" customWidth="1"/>
    <col min="339" max="339" width="10.54296875" bestFit="1" customWidth="1"/>
    <col min="340" max="340" width="15" bestFit="1" customWidth="1"/>
    <col min="341" max="341" width="15.54296875" bestFit="1" customWidth="1"/>
    <col min="342" max="342" width="10" bestFit="1" customWidth="1"/>
    <col min="343" max="343" width="10.54296875" bestFit="1" customWidth="1"/>
    <col min="344" max="344" width="15" bestFit="1" customWidth="1"/>
    <col min="345" max="345" width="15.54296875" bestFit="1" customWidth="1"/>
    <col min="346" max="346" width="10" bestFit="1" customWidth="1"/>
    <col min="347" max="347" width="10.54296875" bestFit="1" customWidth="1"/>
    <col min="348" max="348" width="15" bestFit="1" customWidth="1"/>
    <col min="349" max="349" width="15.54296875" bestFit="1" customWidth="1"/>
    <col min="350" max="350" width="10" bestFit="1" customWidth="1"/>
    <col min="351" max="351" width="10.54296875" bestFit="1" customWidth="1"/>
    <col min="352" max="352" width="15" bestFit="1" customWidth="1"/>
    <col min="353" max="353" width="15.54296875" bestFit="1" customWidth="1"/>
    <col min="354" max="354" width="10" bestFit="1" customWidth="1"/>
    <col min="355" max="355" width="10.54296875" bestFit="1" customWidth="1"/>
    <col min="356" max="356" width="15" bestFit="1" customWidth="1"/>
    <col min="357" max="357" width="15.54296875" bestFit="1" customWidth="1"/>
    <col min="358" max="358" width="10" bestFit="1" customWidth="1"/>
    <col min="359" max="359" width="10.54296875" bestFit="1" customWidth="1"/>
    <col min="360" max="360" width="15" bestFit="1" customWidth="1"/>
    <col min="361" max="361" width="15.54296875" bestFit="1" customWidth="1"/>
    <col min="362" max="362" width="10" bestFit="1" customWidth="1"/>
    <col min="363" max="363" width="10.54296875" bestFit="1" customWidth="1"/>
    <col min="364" max="364" width="15" bestFit="1" customWidth="1"/>
    <col min="365" max="365" width="15.54296875" bestFit="1" customWidth="1"/>
    <col min="366" max="366" width="10" bestFit="1" customWidth="1"/>
    <col min="367" max="367" width="10.54296875" bestFit="1" customWidth="1"/>
    <col min="368" max="368" width="15" bestFit="1" customWidth="1"/>
    <col min="369" max="369" width="15.54296875" bestFit="1" customWidth="1"/>
    <col min="370" max="370" width="10" bestFit="1" customWidth="1"/>
    <col min="371" max="371" width="10.54296875" bestFit="1" customWidth="1"/>
    <col min="372" max="372" width="15" bestFit="1" customWidth="1"/>
    <col min="373" max="373" width="15.54296875" bestFit="1" customWidth="1"/>
    <col min="374" max="374" width="10" bestFit="1" customWidth="1"/>
    <col min="375" max="375" width="10.54296875" bestFit="1" customWidth="1"/>
    <col min="376" max="376" width="15" bestFit="1" customWidth="1"/>
    <col min="377" max="377" width="15.54296875" bestFit="1" customWidth="1"/>
    <col min="378" max="378" width="10" bestFit="1" customWidth="1"/>
    <col min="379" max="379" width="10.54296875" bestFit="1" customWidth="1"/>
    <col min="380" max="380" width="15" bestFit="1" customWidth="1"/>
    <col min="381" max="381" width="15.54296875" bestFit="1" customWidth="1"/>
    <col min="382" max="382" width="10" bestFit="1" customWidth="1"/>
    <col min="383" max="383" width="10.54296875" bestFit="1" customWidth="1"/>
    <col min="384" max="384" width="15" bestFit="1" customWidth="1"/>
    <col min="385" max="385" width="15.54296875" bestFit="1" customWidth="1"/>
    <col min="386" max="386" width="10" bestFit="1" customWidth="1"/>
    <col min="387" max="387" width="10.54296875" bestFit="1" customWidth="1"/>
    <col min="388" max="388" width="15" bestFit="1" customWidth="1"/>
    <col min="389" max="389" width="15.54296875" bestFit="1" customWidth="1"/>
    <col min="390" max="390" width="10" bestFit="1" customWidth="1"/>
    <col min="391" max="391" width="10.54296875" bestFit="1" customWidth="1"/>
    <col min="392" max="392" width="15" bestFit="1" customWidth="1"/>
    <col min="393" max="393" width="15.54296875" bestFit="1" customWidth="1"/>
    <col min="394" max="394" width="10" bestFit="1" customWidth="1"/>
    <col min="395" max="395" width="10.54296875" bestFit="1" customWidth="1"/>
    <col min="396" max="396" width="15" bestFit="1" customWidth="1"/>
    <col min="397" max="397" width="15.54296875" bestFit="1" customWidth="1"/>
    <col min="398" max="398" width="10" bestFit="1" customWidth="1"/>
    <col min="399" max="399" width="10.54296875" bestFit="1" customWidth="1"/>
    <col min="400" max="400" width="13.453125" bestFit="1" customWidth="1"/>
    <col min="401" max="401" width="14" bestFit="1" customWidth="1"/>
    <col min="402" max="402" width="14.54296875" bestFit="1" customWidth="1"/>
    <col min="403" max="403" width="15.08984375" bestFit="1" customWidth="1"/>
  </cols>
  <sheetData>
    <row r="3" spans="1:2" x14ac:dyDescent="0.35">
      <c r="A3" s="1" t="s">
        <v>300</v>
      </c>
      <c r="B3" t="s">
        <v>303</v>
      </c>
    </row>
    <row r="4" spans="1:2" x14ac:dyDescent="0.35">
      <c r="A4" s="2" t="s">
        <v>44</v>
      </c>
      <c r="B4" s="4">
        <v>71.19</v>
      </c>
    </row>
    <row r="5" spans="1:2" x14ac:dyDescent="0.35">
      <c r="A5" s="2" t="s">
        <v>111</v>
      </c>
      <c r="B5" s="4">
        <v>71.260000000000005</v>
      </c>
    </row>
    <row r="6" spans="1:2" x14ac:dyDescent="0.35">
      <c r="A6" s="2" t="s">
        <v>104</v>
      </c>
      <c r="B6" s="4">
        <v>72.760000000000005</v>
      </c>
    </row>
    <row r="7" spans="1:2" x14ac:dyDescent="0.35">
      <c r="A7" s="2" t="s">
        <v>40</v>
      </c>
      <c r="B7" s="4">
        <v>73.75</v>
      </c>
    </row>
    <row r="8" spans="1:2" x14ac:dyDescent="0.35">
      <c r="A8" s="2" t="s">
        <v>32</v>
      </c>
      <c r="B8" s="4">
        <v>74.25</v>
      </c>
    </row>
    <row r="9" spans="1:2" x14ac:dyDescent="0.35">
      <c r="A9" s="2" t="s">
        <v>36</v>
      </c>
      <c r="B9" s="4">
        <v>76.680000000000007</v>
      </c>
    </row>
    <row r="10" spans="1:2" x14ac:dyDescent="0.35">
      <c r="A10" s="2" t="s">
        <v>16</v>
      </c>
      <c r="B10" s="4">
        <v>79.13</v>
      </c>
    </row>
    <row r="11" spans="1:2" x14ac:dyDescent="0.35">
      <c r="A11" s="2" t="s">
        <v>28</v>
      </c>
      <c r="B11" s="4">
        <v>80.5</v>
      </c>
    </row>
    <row r="12" spans="1:2" x14ac:dyDescent="0.35">
      <c r="A12" s="2" t="s">
        <v>20</v>
      </c>
      <c r="B12" s="4">
        <v>83.52</v>
      </c>
    </row>
    <row r="13" spans="1:2" x14ac:dyDescent="0.35">
      <c r="A13" s="2" t="s">
        <v>24</v>
      </c>
      <c r="B13" s="4">
        <v>84.02</v>
      </c>
    </row>
    <row r="14" spans="1:2" x14ac:dyDescent="0.35">
      <c r="A14" s="2" t="s">
        <v>12</v>
      </c>
      <c r="B14" s="4">
        <v>85.61</v>
      </c>
    </row>
    <row r="15" spans="1:2" x14ac:dyDescent="0.35">
      <c r="A15" s="2" t="s">
        <v>301</v>
      </c>
      <c r="B15" s="4">
        <v>852.67000000000007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EE088-B58A-4BE3-B36A-DC78940CD11D}">
  <dimension ref="A3:C27"/>
  <sheetViews>
    <sheetView workbookViewId="0">
      <selection activeCell="O10" sqref="O10"/>
    </sheetView>
  </sheetViews>
  <sheetFormatPr defaultRowHeight="14.5" x14ac:dyDescent="0.35"/>
  <cols>
    <col min="1" max="1" width="17" bestFit="1" customWidth="1"/>
    <col min="2" max="2" width="9.54296875" bestFit="1" customWidth="1"/>
    <col min="3" max="3" width="17.81640625" bestFit="1" customWidth="1"/>
  </cols>
  <sheetData>
    <row r="3" spans="1:3" x14ac:dyDescent="0.35">
      <c r="A3" s="1" t="s">
        <v>300</v>
      </c>
      <c r="B3" t="s">
        <v>304</v>
      </c>
      <c r="C3" t="s">
        <v>305</v>
      </c>
    </row>
    <row r="4" spans="1:3" x14ac:dyDescent="0.35">
      <c r="A4" s="2" t="s">
        <v>158</v>
      </c>
      <c r="B4" s="4">
        <v>229.65</v>
      </c>
      <c r="C4" s="4">
        <v>26.12</v>
      </c>
    </row>
    <row r="5" spans="1:3" x14ac:dyDescent="0.35">
      <c r="A5" s="2" t="s">
        <v>42</v>
      </c>
      <c r="B5" s="4">
        <v>290.64999999999998</v>
      </c>
      <c r="C5" s="4">
        <v>75.989999999999995</v>
      </c>
    </row>
    <row r="6" spans="1:3" x14ac:dyDescent="0.35">
      <c r="A6" s="2" t="s">
        <v>167</v>
      </c>
      <c r="B6" s="4">
        <v>57.6</v>
      </c>
      <c r="C6" s="4">
        <v>16.41</v>
      </c>
    </row>
    <row r="7" spans="1:3" x14ac:dyDescent="0.35">
      <c r="A7" s="2" t="s">
        <v>128</v>
      </c>
      <c r="B7" s="4">
        <v>71.569999999999993</v>
      </c>
      <c r="C7" s="4">
        <v>37.31</v>
      </c>
    </row>
    <row r="8" spans="1:3" x14ac:dyDescent="0.35">
      <c r="A8" s="2" t="s">
        <v>26</v>
      </c>
      <c r="B8" s="4">
        <v>539.39</v>
      </c>
      <c r="C8" s="4">
        <v>268.14</v>
      </c>
    </row>
    <row r="9" spans="1:3" x14ac:dyDescent="0.35">
      <c r="A9" s="2" t="s">
        <v>113</v>
      </c>
      <c r="B9" s="4">
        <v>202.97000000000003</v>
      </c>
      <c r="C9" s="4">
        <v>36.81</v>
      </c>
    </row>
    <row r="10" spans="1:3" x14ac:dyDescent="0.35">
      <c r="A10" s="2" t="s">
        <v>248</v>
      </c>
      <c r="B10" s="4">
        <v>61.27</v>
      </c>
      <c r="C10" s="4">
        <v>12.73</v>
      </c>
    </row>
    <row r="11" spans="1:3" x14ac:dyDescent="0.35">
      <c r="A11" s="2" t="s">
        <v>232</v>
      </c>
      <c r="B11" s="4">
        <v>77.03</v>
      </c>
      <c r="C11" s="4">
        <v>2.1800000000000002</v>
      </c>
    </row>
    <row r="12" spans="1:3" x14ac:dyDescent="0.35">
      <c r="A12" s="2" t="s">
        <v>90</v>
      </c>
      <c r="B12" s="4">
        <v>71.16</v>
      </c>
      <c r="C12" s="4">
        <v>27</v>
      </c>
    </row>
    <row r="13" spans="1:3" x14ac:dyDescent="0.35">
      <c r="A13" s="2" t="s">
        <v>18</v>
      </c>
      <c r="B13" s="4">
        <v>384.84</v>
      </c>
      <c r="C13" s="4">
        <v>179.89</v>
      </c>
    </row>
    <row r="14" spans="1:3" x14ac:dyDescent="0.35">
      <c r="A14" s="2" t="s">
        <v>143</v>
      </c>
      <c r="B14" s="4">
        <v>291.48</v>
      </c>
      <c r="C14" s="4">
        <v>26.91</v>
      </c>
    </row>
    <row r="15" spans="1:3" x14ac:dyDescent="0.35">
      <c r="A15" s="2" t="s">
        <v>102</v>
      </c>
      <c r="B15" s="4">
        <v>133.19999999999999</v>
      </c>
      <c r="C15" s="4">
        <v>24.009999999999998</v>
      </c>
    </row>
    <row r="16" spans="1:3" x14ac:dyDescent="0.35">
      <c r="A16" s="2" t="s">
        <v>22</v>
      </c>
      <c r="B16" s="4">
        <v>844.69</v>
      </c>
      <c r="C16" s="4">
        <v>232.05</v>
      </c>
    </row>
    <row r="17" spans="1:3" x14ac:dyDescent="0.35">
      <c r="A17" s="2" t="s">
        <v>275</v>
      </c>
      <c r="B17" s="4">
        <v>74.61</v>
      </c>
      <c r="C17" s="4">
        <v>11.62</v>
      </c>
    </row>
    <row r="18" spans="1:3" x14ac:dyDescent="0.35">
      <c r="A18" s="2" t="s">
        <v>125</v>
      </c>
      <c r="B18" s="4">
        <v>269.3</v>
      </c>
      <c r="C18" s="4">
        <v>61.080000000000005</v>
      </c>
    </row>
    <row r="19" spans="1:3" x14ac:dyDescent="0.35">
      <c r="A19" s="2" t="s">
        <v>263</v>
      </c>
      <c r="B19" s="4">
        <v>72.400000000000006</v>
      </c>
      <c r="C19" s="4">
        <v>17.89</v>
      </c>
    </row>
    <row r="20" spans="1:3" x14ac:dyDescent="0.35">
      <c r="A20" s="2" t="s">
        <v>106</v>
      </c>
      <c r="B20" s="4">
        <v>456.48</v>
      </c>
      <c r="C20" s="4">
        <v>146.96999999999997</v>
      </c>
    </row>
    <row r="21" spans="1:3" x14ac:dyDescent="0.35">
      <c r="A21" s="2" t="s">
        <v>98</v>
      </c>
      <c r="B21" s="4">
        <v>213.17</v>
      </c>
      <c r="C21" s="4">
        <v>48.860000000000007</v>
      </c>
    </row>
    <row r="22" spans="1:3" x14ac:dyDescent="0.35">
      <c r="A22" s="2" t="s">
        <v>14</v>
      </c>
      <c r="B22" s="4">
        <v>1268.4400000000005</v>
      </c>
      <c r="C22" s="4">
        <v>494.11000000000007</v>
      </c>
    </row>
    <row r="23" spans="1:3" x14ac:dyDescent="0.35">
      <c r="A23" s="2" t="s">
        <v>64</v>
      </c>
      <c r="B23" s="4">
        <v>295.13</v>
      </c>
      <c r="C23" s="4">
        <v>120.57000000000002</v>
      </c>
    </row>
    <row r="24" spans="1:3" x14ac:dyDescent="0.35">
      <c r="A24" s="2" t="s">
        <v>30</v>
      </c>
      <c r="B24" s="4">
        <v>592.38000000000011</v>
      </c>
      <c r="C24" s="4">
        <v>231.38</v>
      </c>
    </row>
    <row r="25" spans="1:3" x14ac:dyDescent="0.35">
      <c r="A25" s="2" t="s">
        <v>38</v>
      </c>
      <c r="B25" s="4">
        <v>83.16</v>
      </c>
      <c r="C25" s="4">
        <v>47.28</v>
      </c>
    </row>
    <row r="26" spans="1:3" x14ac:dyDescent="0.35">
      <c r="A26" s="2" t="s">
        <v>34</v>
      </c>
      <c r="B26" s="4">
        <v>538.09999999999991</v>
      </c>
      <c r="C26" s="4">
        <v>243.13</v>
      </c>
    </row>
    <row r="27" spans="1:3" x14ac:dyDescent="0.35">
      <c r="A27" s="2" t="s">
        <v>301</v>
      </c>
      <c r="B27" s="4">
        <v>7118.6700000000019</v>
      </c>
      <c r="C27" s="4">
        <v>2388.4400000000005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8DBE-2CDE-448F-B848-7B7F194307AF}">
  <dimension ref="A3:B9"/>
  <sheetViews>
    <sheetView workbookViewId="0">
      <selection activeCell="A3" sqref="A3"/>
    </sheetView>
  </sheetViews>
  <sheetFormatPr defaultRowHeight="14.5" x14ac:dyDescent="0.35"/>
  <cols>
    <col min="1" max="1" width="31.453125" bestFit="1" customWidth="1"/>
    <col min="2" max="2" width="11.7265625" bestFit="1" customWidth="1"/>
    <col min="3" max="3" width="6.81640625" bestFit="1" customWidth="1"/>
    <col min="4" max="4" width="5.81640625" bestFit="1" customWidth="1"/>
    <col min="5" max="5" width="10.54296875" bestFit="1" customWidth="1"/>
    <col min="6" max="6" width="5.81640625" bestFit="1" customWidth="1"/>
    <col min="7" max="7" width="7" bestFit="1" customWidth="1"/>
    <col min="8" max="8" width="16.1796875" bestFit="1" customWidth="1"/>
    <col min="9" max="9" width="17.81640625" bestFit="1" customWidth="1"/>
    <col min="10" max="10" width="9.453125" bestFit="1" customWidth="1"/>
    <col min="11" max="11" width="9.26953125" bestFit="1" customWidth="1"/>
    <col min="12" max="12" width="6.81640625" bestFit="1" customWidth="1"/>
    <col min="13" max="13" width="14.6328125" bestFit="1" customWidth="1"/>
    <col min="14" max="14" width="11.26953125" bestFit="1" customWidth="1"/>
    <col min="15" max="15" width="9.7265625" bestFit="1" customWidth="1"/>
    <col min="16" max="16" width="6.81640625" bestFit="1" customWidth="1"/>
    <col min="17" max="17" width="10.90625" bestFit="1" customWidth="1"/>
    <col min="18" max="18" width="6.81640625" bestFit="1" customWidth="1"/>
    <col min="19" max="19" width="9.26953125" bestFit="1" customWidth="1"/>
    <col min="20" max="20" width="10.26953125" bestFit="1" customWidth="1"/>
    <col min="21" max="21" width="9.36328125" bestFit="1" customWidth="1"/>
    <col min="22" max="22" width="12.1796875" bestFit="1" customWidth="1"/>
    <col min="23" max="23" width="11.26953125" bestFit="1" customWidth="1"/>
    <col min="24" max="24" width="11" bestFit="1" customWidth="1"/>
    <col min="25" max="25" width="10.36328125" bestFit="1" customWidth="1"/>
    <col min="26" max="26" width="27.26953125" bestFit="1" customWidth="1"/>
    <col min="27" max="27" width="47.08984375" bestFit="1" customWidth="1"/>
    <col min="28" max="28" width="23" bestFit="1" customWidth="1"/>
    <col min="29" max="29" width="48.26953125" bestFit="1" customWidth="1"/>
    <col min="30" max="30" width="48.7265625" bestFit="1" customWidth="1"/>
    <col min="31" max="31" width="46.7265625" bestFit="1" customWidth="1"/>
    <col min="32" max="32" width="48.6328125" bestFit="1" customWidth="1"/>
    <col min="33" max="33" width="56.7265625" bestFit="1" customWidth="1"/>
    <col min="34" max="34" width="46.7265625" bestFit="1" customWidth="1"/>
    <col min="35" max="35" width="37.81640625" bestFit="1" customWidth="1"/>
    <col min="36" max="36" width="33" bestFit="1" customWidth="1"/>
    <col min="37" max="37" width="30.7265625" bestFit="1" customWidth="1"/>
    <col min="38" max="38" width="37.08984375" bestFit="1" customWidth="1"/>
    <col min="39" max="39" width="34.36328125" bestFit="1" customWidth="1"/>
    <col min="40" max="40" width="35.453125" bestFit="1" customWidth="1"/>
    <col min="41" max="41" width="31.6328125" bestFit="1" customWidth="1"/>
    <col min="42" max="42" width="32.26953125" bestFit="1" customWidth="1"/>
    <col min="43" max="43" width="34.90625" bestFit="1" customWidth="1"/>
    <col min="44" max="44" width="32.36328125" bestFit="1" customWidth="1"/>
    <col min="45" max="45" width="31.453125" bestFit="1" customWidth="1"/>
    <col min="46" max="46" width="31.08984375" bestFit="1" customWidth="1"/>
    <col min="47" max="47" width="33.08984375" bestFit="1" customWidth="1"/>
    <col min="48" max="48" width="31.1796875" bestFit="1" customWidth="1"/>
    <col min="49" max="49" width="28.54296875" bestFit="1" customWidth="1"/>
    <col min="50" max="50" width="17.26953125" bestFit="1" customWidth="1"/>
    <col min="51" max="51" width="13.81640625" bestFit="1" customWidth="1"/>
    <col min="52" max="52" width="17.36328125" bestFit="1" customWidth="1"/>
    <col min="53" max="53" width="24.1796875" bestFit="1" customWidth="1"/>
    <col min="54" max="54" width="40.7265625" bestFit="1" customWidth="1"/>
    <col min="55" max="55" width="43.453125" bestFit="1" customWidth="1"/>
    <col min="56" max="56" width="35.26953125" bestFit="1" customWidth="1"/>
    <col min="57" max="57" width="15" bestFit="1" customWidth="1"/>
    <col min="58" max="58" width="28.7265625" bestFit="1" customWidth="1"/>
    <col min="59" max="59" width="68.90625" bestFit="1" customWidth="1"/>
    <col min="60" max="60" width="26" bestFit="1" customWidth="1"/>
    <col min="61" max="61" width="24" bestFit="1" customWidth="1"/>
    <col min="62" max="62" width="24.1796875" bestFit="1" customWidth="1"/>
    <col min="63" max="63" width="35.453125" bestFit="1" customWidth="1"/>
    <col min="64" max="64" width="32.7265625" bestFit="1" customWidth="1"/>
    <col min="65" max="65" width="39.36328125" bestFit="1" customWidth="1"/>
    <col min="66" max="66" width="16.54296875" bestFit="1" customWidth="1"/>
    <col min="67" max="67" width="15.6328125" bestFit="1" customWidth="1"/>
    <col min="68" max="68" width="35.81640625" bestFit="1" customWidth="1"/>
    <col min="69" max="69" width="36.54296875" bestFit="1" customWidth="1"/>
    <col min="70" max="70" width="35.54296875" bestFit="1" customWidth="1"/>
    <col min="71" max="71" width="34" bestFit="1" customWidth="1"/>
    <col min="72" max="72" width="40.453125" bestFit="1" customWidth="1"/>
    <col min="73" max="73" width="35.90625" bestFit="1" customWidth="1"/>
    <col min="74" max="74" width="24.453125" bestFit="1" customWidth="1"/>
    <col min="75" max="75" width="17.26953125" bestFit="1" customWidth="1"/>
    <col min="76" max="76" width="15.54296875" bestFit="1" customWidth="1"/>
    <col min="77" max="77" width="19.90625" bestFit="1" customWidth="1"/>
    <col min="78" max="78" width="23" bestFit="1" customWidth="1"/>
    <col min="79" max="79" width="36.6328125" bestFit="1" customWidth="1"/>
    <col min="80" max="80" width="44.1796875" bestFit="1" customWidth="1"/>
    <col min="81" max="81" width="41.90625" bestFit="1" customWidth="1"/>
    <col min="82" max="82" width="45.90625" bestFit="1" customWidth="1"/>
    <col min="83" max="83" width="27.81640625" bestFit="1" customWidth="1"/>
    <col min="84" max="84" width="50.08984375" bestFit="1" customWidth="1"/>
    <col min="85" max="85" width="18.81640625" bestFit="1" customWidth="1"/>
    <col min="86" max="86" width="21.26953125" bestFit="1" customWidth="1"/>
    <col min="87" max="87" width="51.90625" bestFit="1" customWidth="1"/>
    <col min="88" max="88" width="42.81640625" bestFit="1" customWidth="1"/>
    <col min="89" max="89" width="24.26953125" bestFit="1" customWidth="1"/>
    <col min="90" max="90" width="48.26953125" bestFit="1" customWidth="1"/>
    <col min="91" max="91" width="20.81640625" bestFit="1" customWidth="1"/>
    <col min="92" max="92" width="27.7265625" bestFit="1" customWidth="1"/>
    <col min="93" max="93" width="15.26953125" bestFit="1" customWidth="1"/>
    <col min="94" max="94" width="40.1796875" bestFit="1" customWidth="1"/>
    <col min="95" max="95" width="16.1796875" bestFit="1" customWidth="1"/>
    <col min="96" max="96" width="20.90625" bestFit="1" customWidth="1"/>
    <col min="97" max="97" width="18.7265625" bestFit="1" customWidth="1"/>
    <col min="98" max="98" width="17.90625" bestFit="1" customWidth="1"/>
    <col min="99" max="99" width="26.26953125" bestFit="1" customWidth="1"/>
    <col min="100" max="100" width="11.6328125" bestFit="1" customWidth="1"/>
    <col min="101" max="101" width="39" bestFit="1" customWidth="1"/>
    <col min="102" max="102" width="10.36328125" bestFit="1" customWidth="1"/>
  </cols>
  <sheetData>
    <row r="3" spans="1:2" x14ac:dyDescent="0.35">
      <c r="A3" s="1" t="s">
        <v>300</v>
      </c>
      <c r="B3" t="s">
        <v>306</v>
      </c>
    </row>
    <row r="4" spans="1:2" x14ac:dyDescent="0.35">
      <c r="A4" s="2" t="s">
        <v>28</v>
      </c>
      <c r="B4" s="3">
        <v>0.18649439297903461</v>
      </c>
    </row>
    <row r="5" spans="1:2" x14ac:dyDescent="0.35">
      <c r="A5" s="2" t="s">
        <v>24</v>
      </c>
      <c r="B5" s="3">
        <v>0.19929302779132133</v>
      </c>
    </row>
    <row r="6" spans="1:2" x14ac:dyDescent="0.35">
      <c r="A6" s="2" t="s">
        <v>20</v>
      </c>
      <c r="B6" s="3">
        <v>0.20117016089712336</v>
      </c>
    </row>
    <row r="7" spans="1:2" x14ac:dyDescent="0.35">
      <c r="A7" s="2" t="s">
        <v>16</v>
      </c>
      <c r="B7" s="3">
        <v>0.20153583617747442</v>
      </c>
    </row>
    <row r="8" spans="1:2" x14ac:dyDescent="0.35">
      <c r="A8" s="2" t="s">
        <v>12</v>
      </c>
      <c r="B8" s="3">
        <v>0.21150658215504634</v>
      </c>
    </row>
    <row r="9" spans="1:2" x14ac:dyDescent="0.35">
      <c r="A9" s="2" t="s">
        <v>301</v>
      </c>
      <c r="B9" s="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A518C-4DFF-4E49-9100-B526FC2757D4}">
  <dimension ref="A1:A3"/>
  <sheetViews>
    <sheetView showGridLines="0" tabSelected="1" workbookViewId="0">
      <selection activeCell="V14" sqref="V14"/>
    </sheetView>
  </sheetViews>
  <sheetFormatPr defaultRowHeight="14.5" x14ac:dyDescent="0.35"/>
  <sheetData>
    <row r="1" customFormat="1" x14ac:dyDescent="0.35"/>
    <row r="2" customFormat="1" x14ac:dyDescent="0.35"/>
    <row r="3"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E9C49-201C-4569-8641-2AA41CF1185E}">
  <dimension ref="A1:K101"/>
  <sheetViews>
    <sheetView workbookViewId="0">
      <selection activeCell="B12" sqref="B12"/>
    </sheetView>
  </sheetViews>
  <sheetFormatPr defaultRowHeight="14.5" x14ac:dyDescent="0.35"/>
  <cols>
    <col min="1" max="1" width="16.453125" customWidth="1"/>
    <col min="2" max="2" width="34.6328125" customWidth="1"/>
    <col min="3" max="3" width="13.36328125" customWidth="1"/>
    <col min="4" max="4" width="12.90625" customWidth="1"/>
    <col min="5" max="5" width="11.7265625" customWidth="1"/>
    <col min="6" max="6" width="12.453125" customWidth="1"/>
    <col min="7" max="7" width="13.453125" customWidth="1"/>
    <col min="8" max="8" width="12.453125" customWidth="1"/>
    <col min="9" max="9" width="14.7265625" customWidth="1"/>
    <col min="10" max="10" width="13.6328125" customWidth="1"/>
    <col min="11" max="11" width="14.0898437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v>85.61</v>
      </c>
      <c r="D2">
        <v>92.51</v>
      </c>
      <c r="E2">
        <v>86.32</v>
      </c>
      <c r="F2">
        <v>63.57</v>
      </c>
      <c r="G2">
        <v>97.13</v>
      </c>
      <c r="H2" t="s">
        <v>13</v>
      </c>
      <c r="I2" t="s">
        <v>14</v>
      </c>
      <c r="J2">
        <v>86.76</v>
      </c>
      <c r="K2">
        <v>1</v>
      </c>
    </row>
    <row r="3" spans="1:11" x14ac:dyDescent="0.35">
      <c r="A3" t="s">
        <v>15</v>
      </c>
      <c r="B3" t="s">
        <v>16</v>
      </c>
      <c r="C3">
        <v>79.13</v>
      </c>
      <c r="D3">
        <v>91.48</v>
      </c>
      <c r="E3">
        <v>78.23</v>
      </c>
      <c r="F3">
        <v>58.39</v>
      </c>
      <c r="G3">
        <v>100</v>
      </c>
      <c r="H3" t="s">
        <v>17</v>
      </c>
      <c r="I3" t="s">
        <v>18</v>
      </c>
      <c r="J3">
        <v>82.67</v>
      </c>
      <c r="K3">
        <v>2</v>
      </c>
    </row>
    <row r="4" spans="1:11" x14ac:dyDescent="0.35">
      <c r="A4" t="s">
        <v>19</v>
      </c>
      <c r="B4" t="s">
        <v>20</v>
      </c>
      <c r="C4">
        <v>83.52</v>
      </c>
      <c r="D4">
        <v>87.81</v>
      </c>
      <c r="E4">
        <v>80.86</v>
      </c>
      <c r="F4">
        <v>57.48</v>
      </c>
      <c r="G4">
        <v>91.96</v>
      </c>
      <c r="H4" t="s">
        <v>21</v>
      </c>
      <c r="I4" t="s">
        <v>22</v>
      </c>
      <c r="J4">
        <v>82.52</v>
      </c>
      <c r="K4">
        <v>3</v>
      </c>
    </row>
    <row r="5" spans="1:11" x14ac:dyDescent="0.35">
      <c r="A5" t="s">
        <v>23</v>
      </c>
      <c r="B5" t="s">
        <v>24</v>
      </c>
      <c r="C5">
        <v>84.02</v>
      </c>
      <c r="D5">
        <v>84.46</v>
      </c>
      <c r="E5">
        <v>75.069999999999993</v>
      </c>
      <c r="F5">
        <v>67.97</v>
      </c>
      <c r="G5">
        <v>93.89</v>
      </c>
      <c r="H5" t="s">
        <v>25</v>
      </c>
      <c r="I5" t="s">
        <v>26</v>
      </c>
      <c r="J5">
        <v>81.75</v>
      </c>
      <c r="K5">
        <v>4</v>
      </c>
    </row>
    <row r="6" spans="1:11" x14ac:dyDescent="0.35">
      <c r="A6" t="s">
        <v>27</v>
      </c>
      <c r="B6" t="s">
        <v>28</v>
      </c>
      <c r="C6">
        <v>80.5</v>
      </c>
      <c r="D6">
        <v>75.23</v>
      </c>
      <c r="E6">
        <v>80.739999999999995</v>
      </c>
      <c r="F6">
        <v>56.97</v>
      </c>
      <c r="G6">
        <v>79.3</v>
      </c>
      <c r="H6" t="s">
        <v>29</v>
      </c>
      <c r="I6" t="s">
        <v>30</v>
      </c>
      <c r="J6">
        <v>76.5</v>
      </c>
      <c r="K6">
        <v>5</v>
      </c>
    </row>
    <row r="7" spans="1:11" x14ac:dyDescent="0.35">
      <c r="A7" t="s">
        <v>31</v>
      </c>
      <c r="B7" t="s">
        <v>32</v>
      </c>
      <c r="C7">
        <v>74.25</v>
      </c>
      <c r="D7">
        <v>76.23</v>
      </c>
      <c r="E7">
        <v>83.23</v>
      </c>
      <c r="F7">
        <v>55.35</v>
      </c>
      <c r="G7">
        <v>82.92</v>
      </c>
      <c r="H7" t="s">
        <v>33</v>
      </c>
      <c r="I7" t="s">
        <v>34</v>
      </c>
      <c r="J7">
        <v>75.62</v>
      </c>
      <c r="K7">
        <v>6</v>
      </c>
    </row>
    <row r="8" spans="1:11" x14ac:dyDescent="0.35">
      <c r="A8" t="s">
        <v>35</v>
      </c>
      <c r="B8" t="s">
        <v>36</v>
      </c>
      <c r="C8">
        <v>76.680000000000007</v>
      </c>
      <c r="D8">
        <v>68.37</v>
      </c>
      <c r="E8">
        <v>83.16</v>
      </c>
      <c r="F8">
        <v>65.31</v>
      </c>
      <c r="G8">
        <v>47.28</v>
      </c>
      <c r="H8" t="s">
        <v>37</v>
      </c>
      <c r="I8" t="s">
        <v>38</v>
      </c>
      <c r="J8">
        <v>71.400000000000006</v>
      </c>
      <c r="K8">
        <v>7</v>
      </c>
    </row>
    <row r="9" spans="1:11" x14ac:dyDescent="0.35">
      <c r="A9" t="s">
        <v>39</v>
      </c>
      <c r="B9" t="s">
        <v>40</v>
      </c>
      <c r="C9">
        <v>73.75</v>
      </c>
      <c r="D9">
        <v>66.25</v>
      </c>
      <c r="E9">
        <v>81.260000000000005</v>
      </c>
      <c r="F9">
        <v>62.95</v>
      </c>
      <c r="G9">
        <v>47.04</v>
      </c>
      <c r="H9" t="s">
        <v>41</v>
      </c>
      <c r="I9" t="s">
        <v>42</v>
      </c>
      <c r="J9">
        <v>69.260000000000005</v>
      </c>
      <c r="K9">
        <v>8</v>
      </c>
    </row>
    <row r="10" spans="1:11" x14ac:dyDescent="0.35">
      <c r="A10" t="s">
        <v>43</v>
      </c>
      <c r="B10" t="s">
        <v>44</v>
      </c>
      <c r="C10">
        <v>71.19</v>
      </c>
      <c r="D10">
        <v>44.96</v>
      </c>
      <c r="E10">
        <v>95.07</v>
      </c>
      <c r="F10">
        <v>73.36</v>
      </c>
      <c r="G10">
        <v>54.12</v>
      </c>
      <c r="H10" t="s">
        <v>25</v>
      </c>
      <c r="I10" t="s">
        <v>26</v>
      </c>
      <c r="J10">
        <v>66.61</v>
      </c>
      <c r="K10">
        <v>9</v>
      </c>
    </row>
    <row r="11" spans="1:11" x14ac:dyDescent="0.35">
      <c r="A11" t="s">
        <v>45</v>
      </c>
      <c r="B11" t="s">
        <v>46</v>
      </c>
      <c r="C11">
        <v>64.5</v>
      </c>
      <c r="D11">
        <v>45</v>
      </c>
      <c r="E11">
        <v>100</v>
      </c>
      <c r="F11">
        <v>53.13</v>
      </c>
      <c r="G11">
        <v>49.38</v>
      </c>
      <c r="H11" t="s">
        <v>47</v>
      </c>
      <c r="I11" t="s">
        <v>30</v>
      </c>
      <c r="J11">
        <v>63.1</v>
      </c>
      <c r="K11">
        <v>10</v>
      </c>
    </row>
    <row r="12" spans="1:11" x14ac:dyDescent="0.35">
      <c r="A12" t="s">
        <v>48</v>
      </c>
      <c r="B12" t="s">
        <v>49</v>
      </c>
      <c r="C12">
        <v>66.2</v>
      </c>
      <c r="D12">
        <v>43.92</v>
      </c>
      <c r="E12">
        <v>91.72</v>
      </c>
      <c r="F12">
        <v>60.98</v>
      </c>
      <c r="G12">
        <v>39.68</v>
      </c>
      <c r="H12" t="s">
        <v>50</v>
      </c>
      <c r="I12" t="s">
        <v>34</v>
      </c>
      <c r="J12">
        <v>61.45</v>
      </c>
      <c r="K12">
        <v>11</v>
      </c>
    </row>
    <row r="13" spans="1:11" x14ac:dyDescent="0.35">
      <c r="A13" t="s">
        <v>51</v>
      </c>
      <c r="B13" t="s">
        <v>52</v>
      </c>
      <c r="C13">
        <v>64.23</v>
      </c>
      <c r="D13">
        <v>54.33</v>
      </c>
      <c r="E13">
        <v>71.349999999999994</v>
      </c>
      <c r="F13">
        <v>65.540000000000006</v>
      </c>
      <c r="G13">
        <v>34.799999999999997</v>
      </c>
      <c r="H13" t="s">
        <v>53</v>
      </c>
      <c r="I13" t="s">
        <v>14</v>
      </c>
      <c r="J13">
        <v>59.87</v>
      </c>
      <c r="K13">
        <v>12</v>
      </c>
    </row>
    <row r="14" spans="1:11" x14ac:dyDescent="0.35">
      <c r="A14" t="s">
        <v>54</v>
      </c>
      <c r="B14" t="s">
        <v>55</v>
      </c>
      <c r="C14">
        <v>66.44</v>
      </c>
      <c r="D14">
        <v>43.43</v>
      </c>
      <c r="E14">
        <v>86.67</v>
      </c>
      <c r="F14">
        <v>72.349999999999994</v>
      </c>
      <c r="G14">
        <v>20.25</v>
      </c>
      <c r="H14" t="s">
        <v>25</v>
      </c>
      <c r="I14" t="s">
        <v>26</v>
      </c>
      <c r="J14">
        <v>59.54</v>
      </c>
      <c r="K14">
        <v>13</v>
      </c>
    </row>
    <row r="15" spans="1:11" x14ac:dyDescent="0.35">
      <c r="A15" t="s">
        <v>56</v>
      </c>
      <c r="B15" t="s">
        <v>57</v>
      </c>
      <c r="C15">
        <v>51.7</v>
      </c>
      <c r="D15">
        <v>51.72</v>
      </c>
      <c r="E15">
        <v>87.77</v>
      </c>
      <c r="F15">
        <v>50.16</v>
      </c>
      <c r="G15">
        <v>53.3</v>
      </c>
      <c r="H15" t="s">
        <v>50</v>
      </c>
      <c r="I15" t="s">
        <v>34</v>
      </c>
      <c r="J15">
        <v>58.93</v>
      </c>
      <c r="K15">
        <v>14</v>
      </c>
    </row>
    <row r="16" spans="1:11" x14ac:dyDescent="0.35">
      <c r="A16" t="s">
        <v>58</v>
      </c>
      <c r="B16" t="s">
        <v>59</v>
      </c>
      <c r="C16">
        <v>67.680000000000007</v>
      </c>
      <c r="D16">
        <v>48.17</v>
      </c>
      <c r="E16">
        <v>76.05</v>
      </c>
      <c r="F16">
        <v>65.25</v>
      </c>
      <c r="G16">
        <v>24.18</v>
      </c>
      <c r="H16" t="s">
        <v>60</v>
      </c>
      <c r="I16" t="s">
        <v>18</v>
      </c>
      <c r="J16">
        <v>58.91</v>
      </c>
      <c r="K16">
        <v>15</v>
      </c>
    </row>
    <row r="17" spans="1:11" x14ac:dyDescent="0.35">
      <c r="A17" t="s">
        <v>61</v>
      </c>
      <c r="B17" t="s">
        <v>62</v>
      </c>
      <c r="C17">
        <v>61.4</v>
      </c>
      <c r="D17">
        <v>52.64</v>
      </c>
      <c r="E17">
        <v>67.510000000000005</v>
      </c>
      <c r="F17">
        <v>58.59</v>
      </c>
      <c r="G17">
        <v>49.61</v>
      </c>
      <c r="H17" t="s">
        <v>63</v>
      </c>
      <c r="I17" t="s">
        <v>64</v>
      </c>
      <c r="J17">
        <v>58.53</v>
      </c>
      <c r="K17">
        <v>16</v>
      </c>
    </row>
    <row r="18" spans="1:11" x14ac:dyDescent="0.35">
      <c r="A18" t="s">
        <v>65</v>
      </c>
      <c r="B18" t="s">
        <v>66</v>
      </c>
      <c r="C18">
        <v>69.59</v>
      </c>
      <c r="D18">
        <v>40.74</v>
      </c>
      <c r="E18">
        <v>77.44</v>
      </c>
      <c r="F18">
        <v>58.72</v>
      </c>
      <c r="G18">
        <v>32.130000000000003</v>
      </c>
      <c r="H18" t="s">
        <v>63</v>
      </c>
      <c r="I18" t="s">
        <v>64</v>
      </c>
      <c r="J18">
        <v>57.67</v>
      </c>
      <c r="K18">
        <v>17</v>
      </c>
    </row>
    <row r="19" spans="1:11" x14ac:dyDescent="0.35">
      <c r="A19" t="s">
        <v>67</v>
      </c>
      <c r="B19" t="s">
        <v>68</v>
      </c>
      <c r="C19">
        <v>69.06</v>
      </c>
      <c r="D19">
        <v>40.86</v>
      </c>
      <c r="E19">
        <v>80.06</v>
      </c>
      <c r="F19">
        <v>56.93</v>
      </c>
      <c r="G19">
        <v>27</v>
      </c>
      <c r="H19" t="s">
        <v>69</v>
      </c>
      <c r="I19" t="s">
        <v>30</v>
      </c>
      <c r="J19">
        <v>57.38</v>
      </c>
      <c r="K19">
        <v>18</v>
      </c>
    </row>
    <row r="20" spans="1:11" x14ac:dyDescent="0.35">
      <c r="A20" t="s">
        <v>70</v>
      </c>
      <c r="B20" t="s">
        <v>71</v>
      </c>
      <c r="C20">
        <v>42.65</v>
      </c>
      <c r="D20">
        <v>54.23</v>
      </c>
      <c r="E20">
        <v>82.66</v>
      </c>
      <c r="F20">
        <v>59.6</v>
      </c>
      <c r="G20">
        <v>44.81</v>
      </c>
      <c r="H20" t="s">
        <v>26</v>
      </c>
      <c r="I20" t="s">
        <v>26</v>
      </c>
      <c r="J20">
        <v>56.03</v>
      </c>
      <c r="K20">
        <v>19</v>
      </c>
    </row>
    <row r="21" spans="1:11" x14ac:dyDescent="0.35">
      <c r="A21" t="s">
        <v>72</v>
      </c>
      <c r="B21" t="s">
        <v>73</v>
      </c>
      <c r="C21">
        <v>62.95</v>
      </c>
      <c r="D21">
        <v>42.77</v>
      </c>
      <c r="E21">
        <v>86.96</v>
      </c>
      <c r="F21">
        <v>50.92</v>
      </c>
      <c r="G21">
        <v>16.41</v>
      </c>
      <c r="H21" t="s">
        <v>74</v>
      </c>
      <c r="I21" t="s">
        <v>22</v>
      </c>
      <c r="J21">
        <v>55.83</v>
      </c>
      <c r="K21">
        <v>20</v>
      </c>
    </row>
    <row r="22" spans="1:11" x14ac:dyDescent="0.35">
      <c r="A22" t="s">
        <v>75</v>
      </c>
      <c r="B22" t="s">
        <v>76</v>
      </c>
      <c r="C22">
        <v>48.43</v>
      </c>
      <c r="D22">
        <v>56.83</v>
      </c>
      <c r="E22">
        <v>69.94</v>
      </c>
      <c r="F22">
        <v>59.38</v>
      </c>
      <c r="G22">
        <v>38.799999999999997</v>
      </c>
      <c r="H22" t="s">
        <v>77</v>
      </c>
      <c r="I22" t="s">
        <v>14</v>
      </c>
      <c r="J22">
        <v>55.39</v>
      </c>
      <c r="K22">
        <v>21</v>
      </c>
    </row>
    <row r="23" spans="1:11" x14ac:dyDescent="0.35">
      <c r="A23" t="s">
        <v>78</v>
      </c>
      <c r="B23" t="s">
        <v>79</v>
      </c>
      <c r="C23">
        <v>61.79</v>
      </c>
      <c r="D23">
        <v>47.45</v>
      </c>
      <c r="E23">
        <v>74.17</v>
      </c>
      <c r="F23">
        <v>53.21</v>
      </c>
      <c r="G23">
        <v>24.6</v>
      </c>
      <c r="H23" t="s">
        <v>53</v>
      </c>
      <c r="I23" t="s">
        <v>14</v>
      </c>
      <c r="J23">
        <v>55.38</v>
      </c>
      <c r="K23">
        <v>22</v>
      </c>
    </row>
    <row r="24" spans="1:11" x14ac:dyDescent="0.35">
      <c r="A24" t="s">
        <v>80</v>
      </c>
      <c r="B24" t="s">
        <v>81</v>
      </c>
      <c r="C24">
        <v>52.39</v>
      </c>
      <c r="D24">
        <v>44.58</v>
      </c>
      <c r="E24">
        <v>71.790000000000006</v>
      </c>
      <c r="F24">
        <v>63.34</v>
      </c>
      <c r="G24">
        <v>51.82</v>
      </c>
      <c r="H24" t="s">
        <v>82</v>
      </c>
      <c r="I24" t="s">
        <v>14</v>
      </c>
      <c r="J24">
        <v>54.97</v>
      </c>
      <c r="K24">
        <v>23</v>
      </c>
    </row>
    <row r="25" spans="1:11" x14ac:dyDescent="0.35">
      <c r="A25" t="s">
        <v>83</v>
      </c>
      <c r="B25" t="s">
        <v>84</v>
      </c>
      <c r="C25">
        <v>67.239999999999995</v>
      </c>
      <c r="D25">
        <v>45.58</v>
      </c>
      <c r="E25">
        <v>59.31</v>
      </c>
      <c r="F25">
        <v>58.75</v>
      </c>
      <c r="G25">
        <v>28.91</v>
      </c>
      <c r="H25" t="s">
        <v>74</v>
      </c>
      <c r="I25" t="s">
        <v>22</v>
      </c>
      <c r="J25">
        <v>54.47</v>
      </c>
      <c r="K25">
        <v>24</v>
      </c>
    </row>
    <row r="26" spans="1:11" x14ac:dyDescent="0.35">
      <c r="A26" t="s">
        <v>85</v>
      </c>
      <c r="B26" t="s">
        <v>86</v>
      </c>
      <c r="C26">
        <v>51.91</v>
      </c>
      <c r="D26">
        <v>43.09</v>
      </c>
      <c r="E26">
        <v>73.11</v>
      </c>
      <c r="F26">
        <v>51.35</v>
      </c>
      <c r="G26">
        <v>61.72</v>
      </c>
      <c r="H26" t="s">
        <v>13</v>
      </c>
      <c r="I26" t="s">
        <v>14</v>
      </c>
      <c r="J26">
        <v>54.42</v>
      </c>
      <c r="K26">
        <v>25</v>
      </c>
    </row>
    <row r="27" spans="1:11" x14ac:dyDescent="0.35">
      <c r="A27" t="s">
        <v>87</v>
      </c>
      <c r="B27" t="s">
        <v>88</v>
      </c>
      <c r="C27">
        <v>48.18</v>
      </c>
      <c r="D27">
        <v>56.64</v>
      </c>
      <c r="E27">
        <v>71.16</v>
      </c>
      <c r="F27">
        <v>55.15</v>
      </c>
      <c r="G27">
        <v>27</v>
      </c>
      <c r="H27" t="s">
        <v>89</v>
      </c>
      <c r="I27" t="s">
        <v>90</v>
      </c>
      <c r="J27">
        <v>53.88</v>
      </c>
      <c r="K27">
        <v>26</v>
      </c>
    </row>
    <row r="28" spans="1:11" x14ac:dyDescent="0.35">
      <c r="A28" t="s">
        <v>91</v>
      </c>
      <c r="B28" t="s">
        <v>92</v>
      </c>
      <c r="C28">
        <v>50.05</v>
      </c>
      <c r="D28">
        <v>55.82</v>
      </c>
      <c r="E28">
        <v>75.959999999999994</v>
      </c>
      <c r="F28">
        <v>46.07</v>
      </c>
      <c r="G28">
        <v>22.04</v>
      </c>
      <c r="H28" t="s">
        <v>21</v>
      </c>
      <c r="I28" t="s">
        <v>22</v>
      </c>
      <c r="J28">
        <v>53.76</v>
      </c>
      <c r="K28">
        <v>27</v>
      </c>
    </row>
    <row r="29" spans="1:11" x14ac:dyDescent="0.35">
      <c r="A29" t="s">
        <v>93</v>
      </c>
      <c r="B29" t="s">
        <v>94</v>
      </c>
      <c r="C29">
        <v>55.87</v>
      </c>
      <c r="D29">
        <v>47.41</v>
      </c>
      <c r="E29">
        <v>69.88</v>
      </c>
      <c r="F29">
        <v>56.69</v>
      </c>
      <c r="G29">
        <v>31.08</v>
      </c>
      <c r="H29" t="s">
        <v>47</v>
      </c>
      <c r="I29" t="s">
        <v>30</v>
      </c>
      <c r="J29">
        <v>53.74</v>
      </c>
      <c r="K29">
        <v>28</v>
      </c>
    </row>
    <row r="30" spans="1:11" x14ac:dyDescent="0.35">
      <c r="A30" t="s">
        <v>95</v>
      </c>
      <c r="B30" t="s">
        <v>96</v>
      </c>
      <c r="C30">
        <v>55.81</v>
      </c>
      <c r="D30">
        <v>43.13</v>
      </c>
      <c r="E30">
        <v>72.05</v>
      </c>
      <c r="F30">
        <v>59.5</v>
      </c>
      <c r="G30">
        <v>32.81</v>
      </c>
      <c r="H30" t="s">
        <v>97</v>
      </c>
      <c r="I30" t="s">
        <v>98</v>
      </c>
      <c r="J30">
        <v>53.32</v>
      </c>
      <c r="K30">
        <v>29</v>
      </c>
    </row>
    <row r="31" spans="1:11" x14ac:dyDescent="0.35">
      <c r="A31" t="s">
        <v>99</v>
      </c>
      <c r="B31" t="s">
        <v>100</v>
      </c>
      <c r="C31">
        <v>57.51</v>
      </c>
      <c r="D31">
        <v>49.25</v>
      </c>
      <c r="E31">
        <v>69.709999999999994</v>
      </c>
      <c r="F31">
        <v>56.59</v>
      </c>
      <c r="G31">
        <v>15.91</v>
      </c>
      <c r="H31" t="s">
        <v>101</v>
      </c>
      <c r="I31" t="s">
        <v>102</v>
      </c>
      <c r="J31">
        <v>53.22</v>
      </c>
      <c r="K31">
        <v>30</v>
      </c>
    </row>
    <row r="32" spans="1:11" x14ac:dyDescent="0.35">
      <c r="A32" t="s">
        <v>103</v>
      </c>
      <c r="B32" t="s">
        <v>104</v>
      </c>
      <c r="C32">
        <v>72.760000000000005</v>
      </c>
      <c r="D32">
        <v>32.92</v>
      </c>
      <c r="E32">
        <v>62.05</v>
      </c>
      <c r="F32">
        <v>63.88</v>
      </c>
      <c r="G32">
        <v>23.76</v>
      </c>
      <c r="H32" t="s">
        <v>105</v>
      </c>
      <c r="I32" t="s">
        <v>106</v>
      </c>
      <c r="J32">
        <v>52.89</v>
      </c>
      <c r="K32">
        <v>31</v>
      </c>
    </row>
    <row r="33" spans="1:11" x14ac:dyDescent="0.35">
      <c r="A33" t="s">
        <v>107</v>
      </c>
      <c r="B33" t="s">
        <v>108</v>
      </c>
      <c r="C33">
        <v>53.81</v>
      </c>
      <c r="D33">
        <v>41.74</v>
      </c>
      <c r="E33">
        <v>73.319999999999993</v>
      </c>
      <c r="F33">
        <v>65.58</v>
      </c>
      <c r="G33">
        <v>30.01</v>
      </c>
      <c r="H33" t="s">
        <v>109</v>
      </c>
      <c r="I33" t="s">
        <v>18</v>
      </c>
      <c r="J33">
        <v>52.88</v>
      </c>
      <c r="K33">
        <v>32</v>
      </c>
    </row>
    <row r="34" spans="1:11" x14ac:dyDescent="0.35">
      <c r="A34" t="s">
        <v>110</v>
      </c>
      <c r="B34" t="s">
        <v>111</v>
      </c>
      <c r="C34">
        <v>71.260000000000005</v>
      </c>
      <c r="D34">
        <v>37.15</v>
      </c>
      <c r="E34">
        <v>57.21</v>
      </c>
      <c r="F34">
        <v>64.209999999999994</v>
      </c>
      <c r="G34">
        <v>23.76</v>
      </c>
      <c r="H34" t="s">
        <v>112</v>
      </c>
      <c r="I34" t="s">
        <v>113</v>
      </c>
      <c r="J34">
        <v>52.77</v>
      </c>
      <c r="K34">
        <v>33</v>
      </c>
    </row>
    <row r="35" spans="1:11" x14ac:dyDescent="0.35">
      <c r="A35" t="s">
        <v>114</v>
      </c>
      <c r="B35" t="s">
        <v>115</v>
      </c>
      <c r="C35">
        <v>68.77</v>
      </c>
      <c r="D35">
        <v>18.79</v>
      </c>
      <c r="E35">
        <v>90.54</v>
      </c>
      <c r="F35">
        <v>54.24</v>
      </c>
      <c r="G35">
        <v>6.85</v>
      </c>
      <c r="H35" t="s">
        <v>116</v>
      </c>
      <c r="I35" t="s">
        <v>18</v>
      </c>
      <c r="J35">
        <v>50.49</v>
      </c>
      <c r="K35">
        <v>34</v>
      </c>
    </row>
    <row r="36" spans="1:11" x14ac:dyDescent="0.35">
      <c r="A36" t="s">
        <v>117</v>
      </c>
      <c r="B36" t="s">
        <v>118</v>
      </c>
      <c r="C36">
        <v>59.67</v>
      </c>
      <c r="D36">
        <v>38.82</v>
      </c>
      <c r="E36">
        <v>66.260000000000005</v>
      </c>
      <c r="F36">
        <v>53.53</v>
      </c>
      <c r="G36">
        <v>23.34</v>
      </c>
      <c r="H36" t="s">
        <v>119</v>
      </c>
      <c r="I36" t="s">
        <v>34</v>
      </c>
      <c r="J36">
        <v>50.48</v>
      </c>
      <c r="K36">
        <v>35</v>
      </c>
    </row>
    <row r="37" spans="1:11" x14ac:dyDescent="0.35">
      <c r="A37" t="s">
        <v>120</v>
      </c>
      <c r="B37" t="s">
        <v>121</v>
      </c>
      <c r="C37">
        <v>68.64</v>
      </c>
      <c r="D37">
        <v>36.450000000000003</v>
      </c>
      <c r="E37">
        <v>65.98</v>
      </c>
      <c r="F37">
        <v>50.79</v>
      </c>
      <c r="G37">
        <v>6.22</v>
      </c>
      <c r="H37" t="s">
        <v>21</v>
      </c>
      <c r="I37" t="s">
        <v>22</v>
      </c>
      <c r="J37">
        <v>50.42</v>
      </c>
      <c r="K37">
        <v>36</v>
      </c>
    </row>
    <row r="38" spans="1:11" x14ac:dyDescent="0.35">
      <c r="A38" t="s">
        <v>122</v>
      </c>
      <c r="B38" t="s">
        <v>123</v>
      </c>
      <c r="C38">
        <v>63.89</v>
      </c>
      <c r="D38">
        <v>29.92</v>
      </c>
      <c r="E38">
        <v>71.34</v>
      </c>
      <c r="F38">
        <v>65.89</v>
      </c>
      <c r="G38">
        <v>13.28</v>
      </c>
      <c r="H38" t="s">
        <v>124</v>
      </c>
      <c r="I38" t="s">
        <v>125</v>
      </c>
      <c r="J38">
        <v>50.34</v>
      </c>
      <c r="K38">
        <v>37</v>
      </c>
    </row>
    <row r="39" spans="1:11" x14ac:dyDescent="0.35">
      <c r="A39" t="s">
        <v>126</v>
      </c>
      <c r="B39" t="s">
        <v>127</v>
      </c>
      <c r="C39">
        <v>48.88</v>
      </c>
      <c r="D39">
        <v>40.86</v>
      </c>
      <c r="E39">
        <v>71.569999999999993</v>
      </c>
      <c r="F39">
        <v>53.49</v>
      </c>
      <c r="G39">
        <v>37.31</v>
      </c>
      <c r="H39" t="s">
        <v>128</v>
      </c>
      <c r="I39" t="s">
        <v>128</v>
      </c>
      <c r="J39">
        <v>50.31</v>
      </c>
      <c r="K39">
        <v>38</v>
      </c>
    </row>
    <row r="40" spans="1:11" x14ac:dyDescent="0.35">
      <c r="A40" t="s">
        <v>129</v>
      </c>
      <c r="B40" t="s">
        <v>130</v>
      </c>
      <c r="C40">
        <v>62.4</v>
      </c>
      <c r="D40">
        <v>27.78</v>
      </c>
      <c r="E40">
        <v>70</v>
      </c>
      <c r="F40">
        <v>78.430000000000007</v>
      </c>
      <c r="G40">
        <v>11.06</v>
      </c>
      <c r="H40" t="s">
        <v>124</v>
      </c>
      <c r="I40" t="s">
        <v>125</v>
      </c>
      <c r="J40">
        <v>50</v>
      </c>
      <c r="K40">
        <v>39</v>
      </c>
    </row>
    <row r="41" spans="1:11" x14ac:dyDescent="0.35">
      <c r="A41" t="s">
        <v>131</v>
      </c>
      <c r="B41" t="s">
        <v>132</v>
      </c>
      <c r="C41">
        <v>62.43</v>
      </c>
      <c r="D41">
        <v>31.86</v>
      </c>
      <c r="E41">
        <v>59.58</v>
      </c>
      <c r="F41">
        <v>71.650000000000006</v>
      </c>
      <c r="G41">
        <v>22.04</v>
      </c>
      <c r="H41" t="s">
        <v>133</v>
      </c>
      <c r="I41" t="s">
        <v>106</v>
      </c>
      <c r="J41">
        <v>49.58</v>
      </c>
      <c r="K41">
        <v>40</v>
      </c>
    </row>
    <row r="42" spans="1:11" x14ac:dyDescent="0.35">
      <c r="A42" t="s">
        <v>134</v>
      </c>
      <c r="B42" t="s">
        <v>135</v>
      </c>
      <c r="C42">
        <v>49.19</v>
      </c>
      <c r="D42">
        <v>48.29</v>
      </c>
      <c r="E42">
        <v>65.319999999999993</v>
      </c>
      <c r="F42">
        <v>51.66</v>
      </c>
      <c r="G42">
        <v>17.89</v>
      </c>
      <c r="H42" t="s">
        <v>136</v>
      </c>
      <c r="I42" t="s">
        <v>125</v>
      </c>
      <c r="J42">
        <v>49.27</v>
      </c>
      <c r="K42">
        <v>41</v>
      </c>
    </row>
    <row r="43" spans="1:11" x14ac:dyDescent="0.35">
      <c r="A43" t="s">
        <v>137</v>
      </c>
      <c r="B43" t="s">
        <v>138</v>
      </c>
      <c r="C43">
        <v>58.58</v>
      </c>
      <c r="D43">
        <v>38.28</v>
      </c>
      <c r="E43">
        <v>66.3</v>
      </c>
      <c r="F43">
        <v>57.78</v>
      </c>
      <c r="G43">
        <v>10.48</v>
      </c>
      <c r="H43" t="s">
        <v>139</v>
      </c>
      <c r="I43" t="s">
        <v>14</v>
      </c>
      <c r="J43">
        <v>49.15</v>
      </c>
      <c r="K43">
        <v>42</v>
      </c>
    </row>
    <row r="44" spans="1:11" x14ac:dyDescent="0.35">
      <c r="A44" t="s">
        <v>140</v>
      </c>
      <c r="B44" t="s">
        <v>141</v>
      </c>
      <c r="C44">
        <v>64.77</v>
      </c>
      <c r="D44">
        <v>19.93</v>
      </c>
      <c r="E44">
        <v>89.11</v>
      </c>
      <c r="F44">
        <v>51.53</v>
      </c>
      <c r="G44">
        <v>4.91</v>
      </c>
      <c r="H44" t="s">
        <v>142</v>
      </c>
      <c r="I44" t="s">
        <v>143</v>
      </c>
      <c r="J44">
        <v>48.87</v>
      </c>
      <c r="K44">
        <v>43</v>
      </c>
    </row>
    <row r="45" spans="1:11" x14ac:dyDescent="0.35">
      <c r="A45" t="s">
        <v>144</v>
      </c>
      <c r="B45" t="s">
        <v>145</v>
      </c>
      <c r="C45">
        <v>48.98</v>
      </c>
      <c r="D45">
        <v>43.27</v>
      </c>
      <c r="E45">
        <v>67.55</v>
      </c>
      <c r="F45">
        <v>64.66</v>
      </c>
      <c r="G45">
        <v>12.18</v>
      </c>
      <c r="H45" t="s">
        <v>146</v>
      </c>
      <c r="I45" t="s">
        <v>30</v>
      </c>
      <c r="J45">
        <v>48.87</v>
      </c>
      <c r="K45">
        <v>43</v>
      </c>
    </row>
    <row r="46" spans="1:11" x14ac:dyDescent="0.35">
      <c r="A46" t="s">
        <v>147</v>
      </c>
      <c r="B46" t="s">
        <v>148</v>
      </c>
      <c r="C46">
        <v>50.44</v>
      </c>
      <c r="D46">
        <v>42.26</v>
      </c>
      <c r="E46">
        <v>67.3</v>
      </c>
      <c r="F46">
        <v>56.35</v>
      </c>
      <c r="G46">
        <v>19.32</v>
      </c>
      <c r="H46" t="s">
        <v>149</v>
      </c>
      <c r="I46" t="s">
        <v>106</v>
      </c>
      <c r="J46">
        <v>48.83</v>
      </c>
      <c r="K46">
        <v>45</v>
      </c>
    </row>
    <row r="47" spans="1:11" x14ac:dyDescent="0.35">
      <c r="A47" t="s">
        <v>150</v>
      </c>
      <c r="B47" t="s">
        <v>151</v>
      </c>
      <c r="C47">
        <v>51.58</v>
      </c>
      <c r="D47">
        <v>38.99</v>
      </c>
      <c r="E47">
        <v>68.650000000000006</v>
      </c>
      <c r="F47">
        <v>50.22</v>
      </c>
      <c r="G47">
        <v>27.77</v>
      </c>
      <c r="H47" t="s">
        <v>152</v>
      </c>
      <c r="I47" t="s">
        <v>34</v>
      </c>
      <c r="J47">
        <v>48.7</v>
      </c>
      <c r="K47">
        <v>46</v>
      </c>
    </row>
    <row r="48" spans="1:11" x14ac:dyDescent="0.35">
      <c r="A48" t="s">
        <v>153</v>
      </c>
      <c r="B48" t="s">
        <v>154</v>
      </c>
      <c r="C48">
        <v>61.35</v>
      </c>
      <c r="D48">
        <v>31.82</v>
      </c>
      <c r="E48">
        <v>66.430000000000007</v>
      </c>
      <c r="F48">
        <v>53.88</v>
      </c>
      <c r="G48">
        <v>20.25</v>
      </c>
      <c r="H48" t="s">
        <v>13</v>
      </c>
      <c r="I48" t="s">
        <v>14</v>
      </c>
      <c r="J48">
        <v>48.66</v>
      </c>
      <c r="K48">
        <v>47</v>
      </c>
    </row>
    <row r="49" spans="1:11" x14ac:dyDescent="0.35">
      <c r="A49" t="s">
        <v>155</v>
      </c>
      <c r="B49" t="s">
        <v>156</v>
      </c>
      <c r="C49">
        <v>55.04</v>
      </c>
      <c r="D49">
        <v>25.59</v>
      </c>
      <c r="E49">
        <v>85.84</v>
      </c>
      <c r="F49">
        <v>54.46</v>
      </c>
      <c r="G49">
        <v>18.37</v>
      </c>
      <c r="H49" t="s">
        <v>157</v>
      </c>
      <c r="I49" t="s">
        <v>158</v>
      </c>
      <c r="J49">
        <v>48.65</v>
      </c>
      <c r="K49">
        <v>48</v>
      </c>
    </row>
    <row r="50" spans="1:11" x14ac:dyDescent="0.35">
      <c r="A50" t="s">
        <v>159</v>
      </c>
      <c r="B50" t="s">
        <v>160</v>
      </c>
      <c r="C50">
        <v>61.78</v>
      </c>
      <c r="D50">
        <v>34.28</v>
      </c>
      <c r="E50">
        <v>64.91</v>
      </c>
      <c r="F50">
        <v>65.989999999999995</v>
      </c>
      <c r="G50">
        <v>2.1800000000000002</v>
      </c>
      <c r="H50" t="s">
        <v>13</v>
      </c>
      <c r="I50" t="s">
        <v>14</v>
      </c>
      <c r="J50">
        <v>48.63</v>
      </c>
      <c r="K50">
        <v>49</v>
      </c>
    </row>
    <row r="51" spans="1:11" x14ac:dyDescent="0.35">
      <c r="A51" t="s">
        <v>161</v>
      </c>
      <c r="B51" t="s">
        <v>162</v>
      </c>
      <c r="C51">
        <v>63.78</v>
      </c>
      <c r="D51">
        <v>30.9</v>
      </c>
      <c r="E51">
        <v>63.49</v>
      </c>
      <c r="F51">
        <v>66.63</v>
      </c>
      <c r="G51">
        <v>8.1</v>
      </c>
      <c r="H51" t="s">
        <v>163</v>
      </c>
      <c r="I51" t="s">
        <v>102</v>
      </c>
      <c r="J51">
        <v>48.57</v>
      </c>
      <c r="K51">
        <v>50</v>
      </c>
    </row>
    <row r="52" spans="1:11" x14ac:dyDescent="0.35">
      <c r="A52" t="s">
        <v>164</v>
      </c>
      <c r="B52" t="s">
        <v>165</v>
      </c>
      <c r="C52">
        <v>60.04</v>
      </c>
      <c r="D52">
        <v>37.020000000000003</v>
      </c>
      <c r="E52">
        <v>57.6</v>
      </c>
      <c r="F52">
        <v>53.94</v>
      </c>
      <c r="G52">
        <v>16.41</v>
      </c>
      <c r="H52" t="s">
        <v>166</v>
      </c>
      <c r="I52" t="s">
        <v>167</v>
      </c>
      <c r="J52">
        <v>47.67</v>
      </c>
      <c r="K52">
        <v>51</v>
      </c>
    </row>
    <row r="53" spans="1:11" x14ac:dyDescent="0.35">
      <c r="A53" t="s">
        <v>168</v>
      </c>
      <c r="B53" t="s">
        <v>169</v>
      </c>
      <c r="C53">
        <v>59.27</v>
      </c>
      <c r="D53">
        <v>34.729999999999997</v>
      </c>
      <c r="E53">
        <v>68.77</v>
      </c>
      <c r="F53">
        <v>52.55</v>
      </c>
      <c r="G53">
        <v>4.24</v>
      </c>
      <c r="H53" t="s">
        <v>170</v>
      </c>
      <c r="I53" t="s">
        <v>143</v>
      </c>
      <c r="J53">
        <v>47.62</v>
      </c>
      <c r="K53">
        <v>52</v>
      </c>
    </row>
    <row r="54" spans="1:11" x14ac:dyDescent="0.35">
      <c r="A54" t="s">
        <v>171</v>
      </c>
      <c r="B54" t="s">
        <v>172</v>
      </c>
      <c r="C54">
        <v>49.93</v>
      </c>
      <c r="D54">
        <v>39.07</v>
      </c>
      <c r="E54">
        <v>68.47</v>
      </c>
      <c r="F54">
        <v>58.6</v>
      </c>
      <c r="G54">
        <v>10.48</v>
      </c>
      <c r="H54" t="s">
        <v>13</v>
      </c>
      <c r="I54" t="s">
        <v>14</v>
      </c>
      <c r="J54">
        <v>47.3</v>
      </c>
      <c r="K54">
        <v>53</v>
      </c>
    </row>
    <row r="55" spans="1:11" x14ac:dyDescent="0.35">
      <c r="A55" t="s">
        <v>173</v>
      </c>
      <c r="B55" t="s">
        <v>174</v>
      </c>
      <c r="C55">
        <v>54.52</v>
      </c>
      <c r="D55">
        <v>29.82</v>
      </c>
      <c r="E55">
        <v>65.95</v>
      </c>
      <c r="F55">
        <v>59.25</v>
      </c>
      <c r="G55">
        <v>25.82</v>
      </c>
      <c r="H55" t="s">
        <v>25</v>
      </c>
      <c r="I55" t="s">
        <v>26</v>
      </c>
      <c r="J55">
        <v>46.98</v>
      </c>
      <c r="K55">
        <v>54</v>
      </c>
    </row>
    <row r="56" spans="1:11" x14ac:dyDescent="0.35">
      <c r="A56" t="s">
        <v>175</v>
      </c>
      <c r="B56" t="s">
        <v>176</v>
      </c>
      <c r="C56">
        <v>49.85</v>
      </c>
      <c r="D56">
        <v>37.31</v>
      </c>
      <c r="E56">
        <v>68.930000000000007</v>
      </c>
      <c r="F56">
        <v>55.11</v>
      </c>
      <c r="G56">
        <v>15.39</v>
      </c>
      <c r="H56" t="s">
        <v>177</v>
      </c>
      <c r="I56" t="s">
        <v>22</v>
      </c>
      <c r="J56">
        <v>46.98</v>
      </c>
      <c r="K56">
        <v>54</v>
      </c>
    </row>
    <row r="57" spans="1:11" x14ac:dyDescent="0.35">
      <c r="A57" t="s">
        <v>178</v>
      </c>
      <c r="B57" t="s">
        <v>179</v>
      </c>
      <c r="C57">
        <v>63.04</v>
      </c>
      <c r="D57">
        <v>19.39</v>
      </c>
      <c r="E57">
        <v>66.7</v>
      </c>
      <c r="F57">
        <v>70.040000000000006</v>
      </c>
      <c r="G57">
        <v>18.850000000000001</v>
      </c>
      <c r="H57" t="s">
        <v>116</v>
      </c>
      <c r="I57" t="s">
        <v>18</v>
      </c>
      <c r="J57">
        <v>46.95</v>
      </c>
      <c r="K57">
        <v>56</v>
      </c>
    </row>
    <row r="58" spans="1:11" x14ac:dyDescent="0.35">
      <c r="A58" t="s">
        <v>180</v>
      </c>
      <c r="B58" t="s">
        <v>181</v>
      </c>
      <c r="C58">
        <v>58.71</v>
      </c>
      <c r="D58">
        <v>27.32</v>
      </c>
      <c r="E58">
        <v>67.45</v>
      </c>
      <c r="F58">
        <v>51.68</v>
      </c>
      <c r="G58">
        <v>23.34</v>
      </c>
      <c r="H58" t="s">
        <v>182</v>
      </c>
      <c r="I58" t="s">
        <v>14</v>
      </c>
      <c r="J58">
        <v>46.79</v>
      </c>
      <c r="K58">
        <v>57</v>
      </c>
    </row>
    <row r="59" spans="1:11" x14ac:dyDescent="0.35">
      <c r="A59" t="s">
        <v>183</v>
      </c>
      <c r="B59" t="s">
        <v>184</v>
      </c>
      <c r="C59">
        <v>51.73</v>
      </c>
      <c r="D59">
        <v>37.83</v>
      </c>
      <c r="E59">
        <v>62.64</v>
      </c>
      <c r="F59">
        <v>55.02</v>
      </c>
      <c r="G59">
        <v>18.850000000000001</v>
      </c>
      <c r="H59" t="s">
        <v>124</v>
      </c>
      <c r="I59" t="s">
        <v>125</v>
      </c>
      <c r="J59">
        <v>46.78</v>
      </c>
      <c r="K59">
        <v>58</v>
      </c>
    </row>
    <row r="60" spans="1:11" x14ac:dyDescent="0.35">
      <c r="A60" t="s">
        <v>185</v>
      </c>
      <c r="B60" t="s">
        <v>186</v>
      </c>
      <c r="C60">
        <v>50.61</v>
      </c>
      <c r="D60">
        <v>31.04</v>
      </c>
      <c r="E60">
        <v>70.319999999999993</v>
      </c>
      <c r="F60">
        <v>56.38</v>
      </c>
      <c r="G60">
        <v>25.01</v>
      </c>
      <c r="H60" t="s">
        <v>187</v>
      </c>
      <c r="I60" t="s">
        <v>64</v>
      </c>
      <c r="J60">
        <v>46.69</v>
      </c>
      <c r="K60">
        <v>59</v>
      </c>
    </row>
    <row r="61" spans="1:11" x14ac:dyDescent="0.35">
      <c r="A61" t="s">
        <v>188</v>
      </c>
      <c r="B61" t="s">
        <v>189</v>
      </c>
      <c r="C61">
        <v>64.39</v>
      </c>
      <c r="D61">
        <v>27.23</v>
      </c>
      <c r="E61">
        <v>62.97</v>
      </c>
      <c r="F61">
        <v>57.57</v>
      </c>
      <c r="G61">
        <v>8.1</v>
      </c>
      <c r="H61" t="s">
        <v>190</v>
      </c>
      <c r="I61" t="s">
        <v>30</v>
      </c>
      <c r="J61">
        <v>46.65</v>
      </c>
      <c r="K61">
        <v>60</v>
      </c>
    </row>
    <row r="62" spans="1:11" x14ac:dyDescent="0.35">
      <c r="A62" t="s">
        <v>191</v>
      </c>
      <c r="B62" t="s">
        <v>192</v>
      </c>
      <c r="C62">
        <v>54.06</v>
      </c>
      <c r="D62">
        <v>34</v>
      </c>
      <c r="E62">
        <v>64.819999999999993</v>
      </c>
      <c r="F62">
        <v>64.680000000000007</v>
      </c>
      <c r="G62">
        <v>7.48</v>
      </c>
      <c r="H62" t="s">
        <v>13</v>
      </c>
      <c r="I62" t="s">
        <v>14</v>
      </c>
      <c r="J62">
        <v>46.6</v>
      </c>
      <c r="K62">
        <v>61</v>
      </c>
    </row>
    <row r="63" spans="1:11" x14ac:dyDescent="0.35">
      <c r="A63" t="s">
        <v>193</v>
      </c>
      <c r="B63" t="s">
        <v>194</v>
      </c>
      <c r="C63">
        <v>64.760000000000005</v>
      </c>
      <c r="D63">
        <v>15.7</v>
      </c>
      <c r="E63">
        <v>81.28</v>
      </c>
      <c r="F63">
        <v>56.13</v>
      </c>
      <c r="G63">
        <v>5.57</v>
      </c>
      <c r="H63" t="s">
        <v>195</v>
      </c>
      <c r="I63" t="s">
        <v>113</v>
      </c>
      <c r="J63">
        <v>46.57</v>
      </c>
      <c r="K63">
        <v>62</v>
      </c>
    </row>
    <row r="64" spans="1:11" x14ac:dyDescent="0.35">
      <c r="A64" t="s">
        <v>196</v>
      </c>
      <c r="B64" t="s">
        <v>197</v>
      </c>
      <c r="C64">
        <v>52.04</v>
      </c>
      <c r="D64">
        <v>28.16</v>
      </c>
      <c r="E64">
        <v>79.86</v>
      </c>
      <c r="F64">
        <v>51.62</v>
      </c>
      <c r="G64">
        <v>13.82</v>
      </c>
      <c r="H64" t="s">
        <v>63</v>
      </c>
      <c r="I64" t="s">
        <v>64</v>
      </c>
      <c r="J64">
        <v>46.57</v>
      </c>
      <c r="K64">
        <v>62</v>
      </c>
    </row>
    <row r="65" spans="1:11" x14ac:dyDescent="0.35">
      <c r="A65" t="s">
        <v>198</v>
      </c>
      <c r="B65" t="s">
        <v>199</v>
      </c>
      <c r="C65">
        <v>57.82</v>
      </c>
      <c r="D65">
        <v>27.62</v>
      </c>
      <c r="E65">
        <v>69.75</v>
      </c>
      <c r="F65">
        <v>60.64</v>
      </c>
      <c r="G65">
        <v>8.1</v>
      </c>
      <c r="H65" t="s">
        <v>25</v>
      </c>
      <c r="I65" t="s">
        <v>26</v>
      </c>
      <c r="J65">
        <v>46.46</v>
      </c>
      <c r="K65">
        <v>64</v>
      </c>
    </row>
    <row r="66" spans="1:11" x14ac:dyDescent="0.35">
      <c r="A66" t="s">
        <v>200</v>
      </c>
      <c r="B66" t="s">
        <v>201</v>
      </c>
      <c r="C66">
        <v>54.37</v>
      </c>
      <c r="D66">
        <v>29.63</v>
      </c>
      <c r="E66">
        <v>70.28</v>
      </c>
      <c r="F66">
        <v>52.7</v>
      </c>
      <c r="G66">
        <v>14.88</v>
      </c>
      <c r="H66" t="s">
        <v>202</v>
      </c>
      <c r="I66" t="s">
        <v>143</v>
      </c>
      <c r="J66">
        <v>46.02</v>
      </c>
      <c r="K66">
        <v>65</v>
      </c>
    </row>
    <row r="67" spans="1:11" x14ac:dyDescent="0.35">
      <c r="A67" t="s">
        <v>203</v>
      </c>
      <c r="B67" t="s">
        <v>204</v>
      </c>
      <c r="C67">
        <v>54.19</v>
      </c>
      <c r="D67">
        <v>14.23</v>
      </c>
      <c r="E67">
        <v>83.55</v>
      </c>
      <c r="F67">
        <v>75.989999999999995</v>
      </c>
      <c r="G67">
        <v>10.48</v>
      </c>
      <c r="H67" t="s">
        <v>205</v>
      </c>
      <c r="I67" t="s">
        <v>98</v>
      </c>
      <c r="J67">
        <v>45.89</v>
      </c>
      <c r="K67">
        <v>66</v>
      </c>
    </row>
    <row r="68" spans="1:11" x14ac:dyDescent="0.35">
      <c r="A68" t="s">
        <v>206</v>
      </c>
      <c r="B68" t="s">
        <v>207</v>
      </c>
      <c r="C68">
        <v>55.17</v>
      </c>
      <c r="D68">
        <v>19.05</v>
      </c>
      <c r="E68">
        <v>83.56</v>
      </c>
      <c r="F68">
        <v>58.4</v>
      </c>
      <c r="G68">
        <v>10.48</v>
      </c>
      <c r="H68" t="s">
        <v>41</v>
      </c>
      <c r="I68" t="s">
        <v>42</v>
      </c>
      <c r="J68">
        <v>45.87</v>
      </c>
      <c r="K68">
        <v>67</v>
      </c>
    </row>
    <row r="69" spans="1:11" x14ac:dyDescent="0.35">
      <c r="A69" t="s">
        <v>208</v>
      </c>
      <c r="B69" t="s">
        <v>209</v>
      </c>
      <c r="C69">
        <v>61.83</v>
      </c>
      <c r="D69">
        <v>18.5</v>
      </c>
      <c r="E69">
        <v>64.52</v>
      </c>
      <c r="F69">
        <v>72.16</v>
      </c>
      <c r="G69">
        <v>14.35</v>
      </c>
      <c r="H69" t="s">
        <v>74</v>
      </c>
      <c r="I69" t="s">
        <v>22</v>
      </c>
      <c r="J69">
        <v>45.65</v>
      </c>
      <c r="K69">
        <v>68</v>
      </c>
    </row>
    <row r="70" spans="1:11" x14ac:dyDescent="0.35">
      <c r="A70" t="s">
        <v>210</v>
      </c>
      <c r="B70" t="s">
        <v>211</v>
      </c>
      <c r="C70">
        <v>58.89</v>
      </c>
      <c r="D70">
        <v>30.78</v>
      </c>
      <c r="E70">
        <v>64.62</v>
      </c>
      <c r="F70">
        <v>55.99</v>
      </c>
      <c r="G70">
        <v>2.1800000000000002</v>
      </c>
      <c r="H70" t="s">
        <v>212</v>
      </c>
      <c r="I70" t="s">
        <v>158</v>
      </c>
      <c r="J70">
        <v>45.64</v>
      </c>
      <c r="K70">
        <v>69</v>
      </c>
    </row>
    <row r="71" spans="1:11" x14ac:dyDescent="0.35">
      <c r="A71" t="s">
        <v>213</v>
      </c>
      <c r="B71" t="s">
        <v>214</v>
      </c>
      <c r="C71">
        <v>61.2</v>
      </c>
      <c r="D71">
        <v>12.32</v>
      </c>
      <c r="E71">
        <v>77.33</v>
      </c>
      <c r="F71">
        <v>72.28</v>
      </c>
      <c r="G71">
        <v>8.7100000000000009</v>
      </c>
      <c r="H71" t="s">
        <v>21</v>
      </c>
      <c r="I71" t="s">
        <v>22</v>
      </c>
      <c r="J71">
        <v>45.63</v>
      </c>
      <c r="K71">
        <v>70</v>
      </c>
    </row>
    <row r="72" spans="1:11" x14ac:dyDescent="0.35">
      <c r="A72" t="s">
        <v>215</v>
      </c>
      <c r="B72" t="s">
        <v>216</v>
      </c>
      <c r="C72">
        <v>50.51</v>
      </c>
      <c r="D72">
        <v>34.26</v>
      </c>
      <c r="E72">
        <v>66.66</v>
      </c>
      <c r="F72">
        <v>56.15</v>
      </c>
      <c r="G72">
        <v>9.9</v>
      </c>
      <c r="H72" t="s">
        <v>217</v>
      </c>
      <c r="I72" t="s">
        <v>34</v>
      </c>
      <c r="J72">
        <v>45.36</v>
      </c>
      <c r="K72">
        <v>71</v>
      </c>
    </row>
    <row r="73" spans="1:11" x14ac:dyDescent="0.35">
      <c r="A73" t="s">
        <v>218</v>
      </c>
      <c r="B73" t="s">
        <v>219</v>
      </c>
      <c r="C73">
        <v>56.13</v>
      </c>
      <c r="D73">
        <v>35.119999999999997</v>
      </c>
      <c r="E73">
        <v>57.57</v>
      </c>
      <c r="F73">
        <v>58.38</v>
      </c>
      <c r="G73">
        <v>5.57</v>
      </c>
      <c r="H73" t="s">
        <v>220</v>
      </c>
      <c r="I73" t="s">
        <v>98</v>
      </c>
      <c r="J73">
        <v>45.29</v>
      </c>
      <c r="K73">
        <v>72</v>
      </c>
    </row>
    <row r="74" spans="1:11" x14ac:dyDescent="0.35">
      <c r="A74" t="s">
        <v>221</v>
      </c>
      <c r="B74" t="s">
        <v>222</v>
      </c>
      <c r="C74">
        <v>58.32</v>
      </c>
      <c r="D74">
        <v>30.02</v>
      </c>
      <c r="E74">
        <v>61.65</v>
      </c>
      <c r="F74">
        <v>52.17</v>
      </c>
      <c r="G74">
        <v>11.62</v>
      </c>
      <c r="H74" t="s">
        <v>223</v>
      </c>
      <c r="I74" t="s">
        <v>42</v>
      </c>
      <c r="J74">
        <v>45.22</v>
      </c>
      <c r="K74">
        <v>73</v>
      </c>
    </row>
    <row r="75" spans="1:11" x14ac:dyDescent="0.35">
      <c r="A75" t="s">
        <v>224</v>
      </c>
      <c r="B75" t="s">
        <v>225</v>
      </c>
      <c r="C75">
        <v>56.74</v>
      </c>
      <c r="D75">
        <v>21.81</v>
      </c>
      <c r="E75">
        <v>65.2</v>
      </c>
      <c r="F75">
        <v>73.06</v>
      </c>
      <c r="G75">
        <v>11.62</v>
      </c>
      <c r="H75" t="s">
        <v>226</v>
      </c>
      <c r="I75" t="s">
        <v>14</v>
      </c>
      <c r="J75">
        <v>45.07</v>
      </c>
      <c r="K75">
        <v>74</v>
      </c>
    </row>
    <row r="76" spans="1:11" x14ac:dyDescent="0.35">
      <c r="A76" t="s">
        <v>227</v>
      </c>
      <c r="B76" t="s">
        <v>228</v>
      </c>
      <c r="C76">
        <v>55.4</v>
      </c>
      <c r="D76">
        <v>24.41</v>
      </c>
      <c r="E76">
        <v>67.59</v>
      </c>
      <c r="F76">
        <v>67.94</v>
      </c>
      <c r="G76">
        <v>5.57</v>
      </c>
      <c r="H76" t="s">
        <v>13</v>
      </c>
      <c r="I76" t="s">
        <v>14</v>
      </c>
      <c r="J76">
        <v>44.81</v>
      </c>
      <c r="K76">
        <v>75</v>
      </c>
    </row>
    <row r="77" spans="1:11" x14ac:dyDescent="0.35">
      <c r="A77" t="s">
        <v>229</v>
      </c>
      <c r="B77" t="s">
        <v>230</v>
      </c>
      <c r="C77">
        <v>60.49</v>
      </c>
      <c r="D77">
        <v>19.510000000000002</v>
      </c>
      <c r="E77">
        <v>77.03</v>
      </c>
      <c r="F77">
        <v>50.12</v>
      </c>
      <c r="G77">
        <v>2.1800000000000002</v>
      </c>
      <c r="H77" t="s">
        <v>231</v>
      </c>
      <c r="I77" t="s">
        <v>232</v>
      </c>
      <c r="J77">
        <v>44.64</v>
      </c>
      <c r="K77">
        <v>76</v>
      </c>
    </row>
    <row r="78" spans="1:11" x14ac:dyDescent="0.35">
      <c r="A78" t="s">
        <v>233</v>
      </c>
      <c r="B78" t="s">
        <v>234</v>
      </c>
      <c r="C78">
        <v>57.48</v>
      </c>
      <c r="D78">
        <v>14.24</v>
      </c>
      <c r="E78">
        <v>63.4</v>
      </c>
      <c r="F78">
        <v>75.44</v>
      </c>
      <c r="G78">
        <v>28.91</v>
      </c>
      <c r="H78" t="s">
        <v>133</v>
      </c>
      <c r="I78" t="s">
        <v>106</v>
      </c>
      <c r="J78">
        <v>44.62</v>
      </c>
      <c r="K78">
        <v>77</v>
      </c>
    </row>
    <row r="79" spans="1:11" x14ac:dyDescent="0.35">
      <c r="A79" t="s">
        <v>235</v>
      </c>
      <c r="B79" t="s">
        <v>236</v>
      </c>
      <c r="C79">
        <v>54.39</v>
      </c>
      <c r="D79">
        <v>25.23</v>
      </c>
      <c r="E79">
        <v>64.17</v>
      </c>
      <c r="F79">
        <v>63.76</v>
      </c>
      <c r="G79">
        <v>14.35</v>
      </c>
      <c r="H79" t="s">
        <v>237</v>
      </c>
      <c r="I79" t="s">
        <v>106</v>
      </c>
      <c r="J79">
        <v>44.53</v>
      </c>
      <c r="K79">
        <v>78</v>
      </c>
    </row>
    <row r="80" spans="1:11" x14ac:dyDescent="0.35">
      <c r="A80" t="s">
        <v>238</v>
      </c>
      <c r="B80" t="s">
        <v>239</v>
      </c>
      <c r="C80">
        <v>64.83</v>
      </c>
      <c r="D80">
        <v>18.350000000000001</v>
      </c>
      <c r="E80">
        <v>61.13</v>
      </c>
      <c r="F80">
        <v>64.73</v>
      </c>
      <c r="G80">
        <v>7.48</v>
      </c>
      <c r="H80" t="s">
        <v>13</v>
      </c>
      <c r="I80" t="s">
        <v>14</v>
      </c>
      <c r="J80">
        <v>44.4</v>
      </c>
      <c r="K80">
        <v>79</v>
      </c>
    </row>
    <row r="81" spans="1:11" x14ac:dyDescent="0.35">
      <c r="A81" t="s">
        <v>240</v>
      </c>
      <c r="B81" t="s">
        <v>241</v>
      </c>
      <c r="C81">
        <v>65.150000000000006</v>
      </c>
      <c r="D81">
        <v>14.45</v>
      </c>
      <c r="E81">
        <v>63.29</v>
      </c>
      <c r="F81">
        <v>61.56</v>
      </c>
      <c r="G81">
        <v>14.88</v>
      </c>
      <c r="H81" t="s">
        <v>74</v>
      </c>
      <c r="I81" t="s">
        <v>22</v>
      </c>
      <c r="J81">
        <v>44.19</v>
      </c>
      <c r="K81">
        <v>80</v>
      </c>
    </row>
    <row r="82" spans="1:11" x14ac:dyDescent="0.35">
      <c r="A82" t="s">
        <v>242</v>
      </c>
      <c r="B82" t="s">
        <v>243</v>
      </c>
      <c r="C82">
        <v>47.55</v>
      </c>
      <c r="D82">
        <v>27.51</v>
      </c>
      <c r="E82">
        <v>63.87</v>
      </c>
      <c r="F82">
        <v>65.97</v>
      </c>
      <c r="G82">
        <v>20.7</v>
      </c>
      <c r="H82" t="s">
        <v>244</v>
      </c>
      <c r="I82" t="s">
        <v>106</v>
      </c>
      <c r="J82">
        <v>43.95</v>
      </c>
      <c r="K82">
        <v>81</v>
      </c>
    </row>
    <row r="83" spans="1:11" x14ac:dyDescent="0.35">
      <c r="A83" t="s">
        <v>245</v>
      </c>
      <c r="B83" t="s">
        <v>246</v>
      </c>
      <c r="C83">
        <v>50.05</v>
      </c>
      <c r="D83">
        <v>30.59</v>
      </c>
      <c r="E83">
        <v>61.27</v>
      </c>
      <c r="F83">
        <v>62.07</v>
      </c>
      <c r="G83">
        <v>12.73</v>
      </c>
      <c r="H83" t="s">
        <v>247</v>
      </c>
      <c r="I83" t="s">
        <v>248</v>
      </c>
      <c r="J83">
        <v>43.93</v>
      </c>
      <c r="K83">
        <v>82</v>
      </c>
    </row>
    <row r="84" spans="1:11" x14ac:dyDescent="0.35">
      <c r="A84" t="s">
        <v>249</v>
      </c>
      <c r="B84" t="s">
        <v>250</v>
      </c>
      <c r="C84">
        <v>61.71</v>
      </c>
      <c r="D84">
        <v>24.77</v>
      </c>
      <c r="E84">
        <v>57.68</v>
      </c>
      <c r="F84">
        <v>48.43</v>
      </c>
      <c r="G84">
        <v>14.35</v>
      </c>
      <c r="H84" t="s">
        <v>251</v>
      </c>
      <c r="I84" t="s">
        <v>14</v>
      </c>
      <c r="J84">
        <v>43.75</v>
      </c>
      <c r="K84">
        <v>83</v>
      </c>
    </row>
    <row r="85" spans="1:11" x14ac:dyDescent="0.35">
      <c r="A85" t="s">
        <v>252</v>
      </c>
      <c r="B85" t="s">
        <v>253</v>
      </c>
      <c r="C85">
        <v>59.5</v>
      </c>
      <c r="D85">
        <v>19.37</v>
      </c>
      <c r="E85">
        <v>63.5</v>
      </c>
      <c r="F85">
        <v>59.14</v>
      </c>
      <c r="G85">
        <v>13.28</v>
      </c>
      <c r="H85" t="s">
        <v>254</v>
      </c>
      <c r="I85" t="s">
        <v>30</v>
      </c>
      <c r="J85">
        <v>43.6</v>
      </c>
      <c r="K85">
        <v>84</v>
      </c>
    </row>
    <row r="86" spans="1:11" x14ac:dyDescent="0.35">
      <c r="A86" t="s">
        <v>255</v>
      </c>
      <c r="B86" t="s">
        <v>256</v>
      </c>
      <c r="C86">
        <v>40.78</v>
      </c>
      <c r="D86">
        <v>28.63</v>
      </c>
      <c r="E86">
        <v>76.11</v>
      </c>
      <c r="F86">
        <v>53.77</v>
      </c>
      <c r="G86">
        <v>17.89</v>
      </c>
      <c r="H86" t="s">
        <v>257</v>
      </c>
      <c r="I86" t="s">
        <v>106</v>
      </c>
      <c r="J86">
        <v>43.21</v>
      </c>
      <c r="K86">
        <v>85</v>
      </c>
    </row>
    <row r="87" spans="1:11" x14ac:dyDescent="0.35">
      <c r="A87" t="s">
        <v>258</v>
      </c>
      <c r="B87" t="s">
        <v>259</v>
      </c>
      <c r="C87">
        <v>55.37</v>
      </c>
      <c r="D87">
        <v>18.13</v>
      </c>
      <c r="E87">
        <v>58.69</v>
      </c>
      <c r="F87">
        <v>50.17</v>
      </c>
      <c r="G87">
        <v>43.26</v>
      </c>
      <c r="H87" t="s">
        <v>53</v>
      </c>
      <c r="I87" t="s">
        <v>14</v>
      </c>
      <c r="J87">
        <v>43.14</v>
      </c>
      <c r="K87">
        <v>86</v>
      </c>
    </row>
    <row r="88" spans="1:11" x14ac:dyDescent="0.35">
      <c r="A88" t="s">
        <v>260</v>
      </c>
      <c r="B88" t="s">
        <v>261</v>
      </c>
      <c r="C88">
        <v>39.94</v>
      </c>
      <c r="D88">
        <v>30.1</v>
      </c>
      <c r="E88">
        <v>72.400000000000006</v>
      </c>
      <c r="F88">
        <v>58.18</v>
      </c>
      <c r="G88">
        <v>17.89</v>
      </c>
      <c r="H88" t="s">
        <v>262</v>
      </c>
      <c r="I88" t="s">
        <v>263</v>
      </c>
      <c r="J88">
        <v>43.1</v>
      </c>
      <c r="K88">
        <v>87</v>
      </c>
    </row>
    <row r="89" spans="1:11" x14ac:dyDescent="0.35">
      <c r="A89" t="s">
        <v>264</v>
      </c>
      <c r="B89" t="s">
        <v>265</v>
      </c>
      <c r="C89">
        <v>47.86</v>
      </c>
      <c r="D89">
        <v>28.49</v>
      </c>
      <c r="E89">
        <v>67.680000000000007</v>
      </c>
      <c r="F89">
        <v>54.77</v>
      </c>
      <c r="G89">
        <v>11.06</v>
      </c>
      <c r="H89" t="s">
        <v>266</v>
      </c>
      <c r="I89" t="s">
        <v>30</v>
      </c>
      <c r="J89">
        <v>43.04</v>
      </c>
      <c r="K89">
        <v>88</v>
      </c>
    </row>
    <row r="90" spans="1:11" x14ac:dyDescent="0.35">
      <c r="A90" t="s">
        <v>267</v>
      </c>
      <c r="B90" t="s">
        <v>268</v>
      </c>
      <c r="C90">
        <v>53.36</v>
      </c>
      <c r="D90">
        <v>29.01</v>
      </c>
      <c r="E90">
        <v>59.42</v>
      </c>
      <c r="F90">
        <v>53.63</v>
      </c>
      <c r="G90">
        <v>9.9</v>
      </c>
      <c r="H90" t="s">
        <v>269</v>
      </c>
      <c r="I90" t="s">
        <v>14</v>
      </c>
      <c r="J90">
        <v>42.94</v>
      </c>
      <c r="K90">
        <v>89</v>
      </c>
    </row>
    <row r="91" spans="1:11" x14ac:dyDescent="0.35">
      <c r="A91" t="s">
        <v>270</v>
      </c>
      <c r="B91" t="s">
        <v>271</v>
      </c>
      <c r="C91">
        <v>54.74</v>
      </c>
      <c r="D91">
        <v>29.92</v>
      </c>
      <c r="E91">
        <v>53.67</v>
      </c>
      <c r="F91">
        <v>47.8</v>
      </c>
      <c r="G91">
        <v>18.850000000000001</v>
      </c>
      <c r="H91" t="s">
        <v>82</v>
      </c>
      <c r="I91" t="s">
        <v>14</v>
      </c>
      <c r="J91">
        <v>42.79</v>
      </c>
      <c r="K91">
        <v>90</v>
      </c>
    </row>
    <row r="92" spans="1:11" x14ac:dyDescent="0.35">
      <c r="A92" t="s">
        <v>272</v>
      </c>
      <c r="B92" t="s">
        <v>273</v>
      </c>
      <c r="C92">
        <v>55.53</v>
      </c>
      <c r="D92">
        <v>16.309999999999999</v>
      </c>
      <c r="E92">
        <v>74.61</v>
      </c>
      <c r="F92">
        <v>51.63</v>
      </c>
      <c r="G92">
        <v>11.62</v>
      </c>
      <c r="H92" t="s">
        <v>274</v>
      </c>
      <c r="I92" t="s">
        <v>275</v>
      </c>
      <c r="J92">
        <v>42.79</v>
      </c>
      <c r="K92">
        <v>90</v>
      </c>
    </row>
    <row r="93" spans="1:11" x14ac:dyDescent="0.35">
      <c r="A93" t="s">
        <v>276</v>
      </c>
      <c r="B93" t="s">
        <v>277</v>
      </c>
      <c r="C93">
        <v>51.21</v>
      </c>
      <c r="D93">
        <v>19.87</v>
      </c>
      <c r="E93">
        <v>79.19</v>
      </c>
      <c r="F93">
        <v>50.61</v>
      </c>
      <c r="G93">
        <v>5.57</v>
      </c>
      <c r="H93" t="s">
        <v>278</v>
      </c>
      <c r="I93" t="s">
        <v>158</v>
      </c>
      <c r="J93">
        <v>42.78</v>
      </c>
      <c r="K93">
        <v>92</v>
      </c>
    </row>
    <row r="94" spans="1:11" x14ac:dyDescent="0.35">
      <c r="A94" t="s">
        <v>279</v>
      </c>
      <c r="B94" t="s">
        <v>280</v>
      </c>
      <c r="C94">
        <v>47.28</v>
      </c>
      <c r="D94">
        <v>32.31</v>
      </c>
      <c r="E94">
        <v>64.180000000000007</v>
      </c>
      <c r="F94">
        <v>52.84</v>
      </c>
      <c r="G94">
        <v>6.85</v>
      </c>
      <c r="H94" t="s">
        <v>281</v>
      </c>
      <c r="I94" t="s">
        <v>42</v>
      </c>
      <c r="J94">
        <v>42.68</v>
      </c>
      <c r="K94">
        <v>93</v>
      </c>
    </row>
    <row r="95" spans="1:11" x14ac:dyDescent="0.35">
      <c r="A95" t="s">
        <v>282</v>
      </c>
      <c r="B95" t="s">
        <v>283</v>
      </c>
      <c r="C95">
        <v>63.31</v>
      </c>
      <c r="D95">
        <v>14.77</v>
      </c>
      <c r="E95">
        <v>63.13</v>
      </c>
      <c r="F95">
        <v>60.92</v>
      </c>
      <c r="G95">
        <v>4.24</v>
      </c>
      <c r="H95" t="s">
        <v>21</v>
      </c>
      <c r="I95" t="s">
        <v>22</v>
      </c>
      <c r="J95">
        <v>42.56</v>
      </c>
      <c r="K95">
        <v>94</v>
      </c>
    </row>
    <row r="96" spans="1:11" x14ac:dyDescent="0.35">
      <c r="A96" t="s">
        <v>284</v>
      </c>
      <c r="B96" t="s">
        <v>285</v>
      </c>
      <c r="C96">
        <v>63.32</v>
      </c>
      <c r="D96">
        <v>16.64</v>
      </c>
      <c r="E96">
        <v>63.32</v>
      </c>
      <c r="F96">
        <v>54.77</v>
      </c>
      <c r="G96">
        <v>2.88</v>
      </c>
      <c r="H96" t="s">
        <v>286</v>
      </c>
      <c r="I96" t="s">
        <v>143</v>
      </c>
      <c r="J96">
        <v>42.42</v>
      </c>
      <c r="K96">
        <v>95</v>
      </c>
    </row>
    <row r="97" spans="1:11" x14ac:dyDescent="0.35">
      <c r="A97" t="s">
        <v>287</v>
      </c>
      <c r="B97" t="s">
        <v>288</v>
      </c>
      <c r="C97">
        <v>49.58</v>
      </c>
      <c r="D97">
        <v>19.079999999999998</v>
      </c>
      <c r="E97">
        <v>78.349999999999994</v>
      </c>
      <c r="F97">
        <v>47.78</v>
      </c>
      <c r="G97">
        <v>7.48</v>
      </c>
      <c r="H97" t="s">
        <v>21</v>
      </c>
      <c r="I97" t="s">
        <v>22</v>
      </c>
      <c r="J97">
        <v>41.79</v>
      </c>
      <c r="K97">
        <v>96</v>
      </c>
    </row>
    <row r="98" spans="1:11" x14ac:dyDescent="0.35">
      <c r="A98" t="s">
        <v>289</v>
      </c>
      <c r="B98" t="s">
        <v>290</v>
      </c>
      <c r="C98">
        <v>49.51</v>
      </c>
      <c r="D98">
        <v>26.16</v>
      </c>
      <c r="E98">
        <v>73.81</v>
      </c>
      <c r="F98">
        <v>36.58</v>
      </c>
      <c r="G98">
        <v>6.22</v>
      </c>
      <c r="H98" t="s">
        <v>291</v>
      </c>
      <c r="I98" t="s">
        <v>34</v>
      </c>
      <c r="J98">
        <v>41.74</v>
      </c>
      <c r="K98">
        <v>97</v>
      </c>
    </row>
    <row r="99" spans="1:11" x14ac:dyDescent="0.35">
      <c r="A99" t="s">
        <v>292</v>
      </c>
      <c r="B99" t="s">
        <v>293</v>
      </c>
      <c r="C99">
        <v>45.31</v>
      </c>
      <c r="D99">
        <v>29.28</v>
      </c>
      <c r="E99">
        <v>64.48</v>
      </c>
      <c r="F99">
        <v>57.03</v>
      </c>
      <c r="G99">
        <v>7.48</v>
      </c>
      <c r="H99" t="s">
        <v>294</v>
      </c>
      <c r="I99" t="s">
        <v>113</v>
      </c>
      <c r="J99">
        <v>41.72</v>
      </c>
      <c r="K99">
        <v>98</v>
      </c>
    </row>
    <row r="100" spans="1:11" x14ac:dyDescent="0.35">
      <c r="A100" t="s">
        <v>295</v>
      </c>
      <c r="B100" t="s">
        <v>296</v>
      </c>
      <c r="C100">
        <v>48.12</v>
      </c>
      <c r="D100">
        <v>22.64</v>
      </c>
      <c r="E100">
        <v>64.22</v>
      </c>
      <c r="F100">
        <v>52.45</v>
      </c>
      <c r="G100">
        <v>21.15</v>
      </c>
      <c r="H100" t="s">
        <v>25</v>
      </c>
      <c r="I100" t="s">
        <v>26</v>
      </c>
      <c r="J100">
        <v>41.43</v>
      </c>
      <c r="K100">
        <v>99</v>
      </c>
    </row>
    <row r="101" spans="1:11" x14ac:dyDescent="0.35">
      <c r="A101" t="s">
        <v>297</v>
      </c>
      <c r="B101" t="s">
        <v>298</v>
      </c>
      <c r="C101">
        <v>64.06</v>
      </c>
      <c r="D101">
        <v>10.35</v>
      </c>
      <c r="E101">
        <v>60.07</v>
      </c>
      <c r="F101">
        <v>66.19</v>
      </c>
      <c r="G101">
        <v>1.46</v>
      </c>
      <c r="H101" t="s">
        <v>299</v>
      </c>
      <c r="I101" t="s">
        <v>22</v>
      </c>
      <c r="J101">
        <v>41.1</v>
      </c>
      <c r="K101">
        <v>100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Sheet3</vt:lpstr>
      <vt:lpstr>Sheet2</vt:lpstr>
      <vt:lpstr>Sheet4</vt:lpstr>
      <vt:lpstr>Sheet5</vt:lpstr>
      <vt:lpstr>DASHBOARD</vt:lpstr>
      <vt:lpstr>NIRF Ranking 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DARAMOLA OLADUNNI</cp:lastModifiedBy>
  <dcterms:created xsi:type="dcterms:W3CDTF">2026-02-06T15:46:20Z</dcterms:created>
  <dcterms:modified xsi:type="dcterms:W3CDTF">2026-02-14T18:11:30Z</dcterms:modified>
</cp:coreProperties>
</file>